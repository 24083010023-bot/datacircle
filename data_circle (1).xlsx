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" sheetId="1" r:id="rId5"/>
    <sheet state="visible" name="Form Responses 1" sheetId="2" r:id="rId6"/>
  </sheets>
  <definedNames>
    <definedName hidden="1" localSheetId="0" name="_xlnm._FilterDatabase">Clean!$A$1:$R$165</definedName>
    <definedName hidden="1" localSheetId="1" name="_xlnm._FilterDatabase">'Form Responses 1'!$A$1:$R$168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61">
      <text>
        <t xml:space="preserve">Responder updated this value.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11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<sst xmlns="http://schemas.openxmlformats.org/spreadsheetml/2006/main" count="3038" uniqueCount="431">
  <si>
    <t>Timestamp</t>
  </si>
  <si>
    <t>Email Address</t>
  </si>
  <si>
    <t>Apakah Anda bersedia mengisi pertanyaan-pertanyaan berikut ini?</t>
  </si>
  <si>
    <t>Nama Lengkap</t>
  </si>
  <si>
    <t>NPM</t>
  </si>
  <si>
    <t>Fakultas</t>
  </si>
  <si>
    <r>
      <rPr>
        <rFont val="Arial"/>
        <b/>
        <color theme="1"/>
      </rPr>
      <t>Program Studi</t>
    </r>
    <r>
      <rPr>
        <rFont val="Arial"/>
        <i/>
        <color theme="1"/>
      </rPr>
      <t xml:space="preserve">
Contoh: Sains Data</t>
    </r>
  </si>
  <si>
    <r>
      <rPr>
        <rFont val="Arial"/>
        <b/>
        <color theme="1"/>
      </rPr>
      <t>No WhatsApp</t>
    </r>
    <r>
      <rPr>
        <rFont val="Arial"/>
        <i/>
        <color theme="1"/>
      </rPr>
      <t xml:space="preserve">
Contoh: 6281234567890</t>
    </r>
  </si>
  <si>
    <r>
      <rPr>
        <rFont val="Arial"/>
        <b/>
        <color theme="1"/>
      </rPr>
      <t>1. Berapa orang yang termasuk dalam circle pertemanan terdekat Anda? (... orang)</t>
    </r>
    <r>
      <rPr>
        <rFont val="Arial"/>
        <i/>
        <color theme="1"/>
      </rPr>
      <t xml:space="preserve">
Contoh: 3</t>
    </r>
  </si>
  <si>
    <t>2. Apa bentuk interaksi dominan dalam circle Anda?</t>
  </si>
  <si>
    <r>
      <rPr>
        <rFont val="Arial"/>
        <b/>
        <color theme="1"/>
      </rPr>
      <t xml:space="preserve">3. Seberapa sering Anda bertemu dengan circle pertemanan dalam 1 minggu? (... kali) </t>
    </r>
    <r>
      <rPr>
        <rFont val="Arial"/>
        <i/>
        <color theme="1"/>
      </rPr>
      <t xml:space="preserve">
Contoh: 7</t>
    </r>
  </si>
  <si>
    <r>
      <rPr>
        <rFont val="Arial"/>
        <b/>
        <color theme="1"/>
      </rPr>
      <t>4. Seberapa sering Anda belajar bersama circle pertemanan dalam 1 minggu? (... kali)</t>
    </r>
    <r>
      <rPr>
        <rFont val="Arial"/>
        <i/>
        <color theme="1"/>
      </rPr>
      <t xml:space="preserve">
Contoh: 5</t>
    </r>
  </si>
  <si>
    <t>5. Apa bentuk dukungan yang paling sering diberikan circle pertemanan Anda dalam memotivasi belajar?</t>
  </si>
  <si>
    <t xml:space="preserve"> 6. Apakah circle pertemanan Anda mengganggu kegiatan akademik di perkuliahan? </t>
  </si>
  <si>
    <t>7. Seberapa setuju Anda bahwa circle pertemanan dapat meningkatkan motivasi belajar Anda?</t>
  </si>
  <si>
    <t>8. Dari skala 1–5, seberapa konsisten circle pertemanan Anda mendorong Anda untuk tetap fokus belajar?</t>
  </si>
  <si>
    <t>9. Dari skala 1–5, seberapa besar circle pertemanan Anda memotivasi Anda untuk menyelesaikan tugas tepat waktu?</t>
  </si>
  <si>
    <r>
      <rPr>
        <rFont val="Arial"/>
        <b/>
        <color theme="1"/>
      </rPr>
      <t>10. Berapa jam rata-rata Anda belajar setiap hari setelah berkumpul dengan teman kuliah Anda? (... jam)</t>
    </r>
    <r>
      <rPr>
        <rFont val="Arial"/>
        <i/>
        <color theme="1"/>
      </rPr>
      <t xml:space="preserve">
Contoh: 1 </t>
    </r>
  </si>
  <si>
    <t>21042010097@student.upnjatim.ac.id</t>
  </si>
  <si>
    <t>Ya</t>
  </si>
  <si>
    <t xml:space="preserve">Okalifta Rale Travito </t>
  </si>
  <si>
    <t>Fakultas Ilmu Sosial, Budaya dan Politik</t>
  </si>
  <si>
    <t>Administrasi Bisnis</t>
  </si>
  <si>
    <t>Ngobrol Santai atau Ngobrol Sehari-hari</t>
  </si>
  <si>
    <t>Mengingatkan deadline atau tugas</t>
  </si>
  <si>
    <t>Tidak</t>
  </si>
  <si>
    <t>Sangat Setuju</t>
  </si>
  <si>
    <t>mtiarasyah@gmail.com</t>
  </si>
  <si>
    <t xml:space="preserve">Mutiara Aisyah </t>
  </si>
  <si>
    <t>Setuju</t>
  </si>
  <si>
    <t>25042010187@student.upnjatim.ac.id</t>
  </si>
  <si>
    <t>Rr. Adelia Putri Andini</t>
  </si>
  <si>
    <t>vitadwilarasatii@gmail.com</t>
  </si>
  <si>
    <t xml:space="preserve">Vita Dwi Larasati </t>
  </si>
  <si>
    <t>Belajar Bersama atau Diskusi Akademik</t>
  </si>
  <si>
    <t>Netral</t>
  </si>
  <si>
    <t>24042010259@student.upnjatim.ac.id</t>
  </si>
  <si>
    <t>Giska Hamidatul Sofii</t>
  </si>
  <si>
    <t>aisyahtasyaroh@gmail.com</t>
  </si>
  <si>
    <t xml:space="preserve">TASYAROH AISYAH RAMADHANI </t>
  </si>
  <si>
    <t>salmazakiyatuntsabita@gmail.com</t>
  </si>
  <si>
    <t xml:space="preserve">Zakiyatun Tsabita Salma </t>
  </si>
  <si>
    <t>madindadewi27@gmail.com</t>
  </si>
  <si>
    <t xml:space="preserve">Adinda Dewi Margareta </t>
  </si>
  <si>
    <t>25042010298@student.upnjatim.ac.id</t>
  </si>
  <si>
    <t>Ratu Farah Hoesein</t>
  </si>
  <si>
    <t>Memberikan reward atau ajak refreshing setelah belajar dan ujian</t>
  </si>
  <si>
    <t>24042010088@student.upnjatim.ac.id</t>
  </si>
  <si>
    <t xml:space="preserve">GILANG MUKHTI HOIRITYAWAN </t>
  </si>
  <si>
    <t>Membagikan materi atau tugas kuliah</t>
  </si>
  <si>
    <t>mmaula.lala@gmail.com</t>
  </si>
  <si>
    <t xml:space="preserve">Fatkya Maula Abdilah </t>
  </si>
  <si>
    <t>24042010155@student.upnjatim.ac.id</t>
  </si>
  <si>
    <t xml:space="preserve">Tria Auliana Nur Hidayah </t>
  </si>
  <si>
    <t>titaniawandani@gmail.com</t>
  </si>
  <si>
    <t>Titania Celia Wandani</t>
  </si>
  <si>
    <t>irvan220524@gmail.com</t>
  </si>
  <si>
    <t>M. Irvan</t>
  </si>
  <si>
    <t>mochalifabiantono@gmail.com</t>
  </si>
  <si>
    <t>Mochammad Alif Abiantono</t>
  </si>
  <si>
    <t>24042010310@student.upnjatim.ac.id</t>
  </si>
  <si>
    <t>Zulfikri Iqbal Habibi</t>
  </si>
  <si>
    <t>ayumayanganzani@gmail.com</t>
  </si>
  <si>
    <t xml:space="preserve">Ayu Mayang Anjani </t>
  </si>
  <si>
    <t>Menyediakan suasana belajar yang nyaman</t>
  </si>
  <si>
    <t>riyantiputri64@gmail.com</t>
  </si>
  <si>
    <t>Tiara Putri Riyanti</t>
  </si>
  <si>
    <t>imeldaputri454@gmail.com</t>
  </si>
  <si>
    <t>Imelda Salsa</t>
  </si>
  <si>
    <t>rahardianutomo@gmail.com</t>
  </si>
  <si>
    <t>Rahardian Utomo</t>
  </si>
  <si>
    <t>25042010326@student.upnjatim.ac.id</t>
  </si>
  <si>
    <t>Muhamad Abdul Mizan</t>
  </si>
  <si>
    <t>nadinepramesti07@gmail.com</t>
  </si>
  <si>
    <t>Ni Putu Nadine Pramesti Wardani</t>
  </si>
  <si>
    <t>25042010093@student.upnjatim.ac.id</t>
  </si>
  <si>
    <t>Naura Atha Safa</t>
  </si>
  <si>
    <t>nafisnazril22@gmail.com</t>
  </si>
  <si>
    <t xml:space="preserve">Muchammad Raihan Rizqullah Nafiz </t>
  </si>
  <si>
    <t>diahkusuma0506@gmail.com</t>
  </si>
  <si>
    <t xml:space="preserve">Diah Kusuma Wardani Riyadi </t>
  </si>
  <si>
    <t>25042010015@student.upnjatim.ac.id</t>
  </si>
  <si>
    <t>Ibrahim Musa</t>
  </si>
  <si>
    <t>lindatriwahyuni10@gmail.com</t>
  </si>
  <si>
    <t>Linda Tri Wahyuni</t>
  </si>
  <si>
    <t>Administrasi Publik</t>
  </si>
  <si>
    <t>serlinamaylani@gmail.com</t>
  </si>
  <si>
    <t>Serlina Rachma Maylani</t>
  </si>
  <si>
    <t>24041010061@student.upnjatim.ac.id</t>
  </si>
  <si>
    <t xml:space="preserve">Riska Kirani Adhwyiah </t>
  </si>
  <si>
    <t>25041010166@student.upnjatim.ac.id</t>
  </si>
  <si>
    <t xml:space="preserve">Fika Choirutun Niswa </t>
  </si>
  <si>
    <t>rafadiyanti.4@gmail.com</t>
  </si>
  <si>
    <t>Kaluna</t>
  </si>
  <si>
    <t>delaaatavia@gmail.com</t>
  </si>
  <si>
    <t xml:space="preserve">Della Oktavia </t>
  </si>
  <si>
    <t>Aktivitas Hiburan (nonton, gaming, olahraga, dll)</t>
  </si>
  <si>
    <t>ragil.cantika2024@gmail.com</t>
  </si>
  <si>
    <t>ragil cantika</t>
  </si>
  <si>
    <t>25025010134@student.upnjatim.ac.id</t>
  </si>
  <si>
    <t xml:space="preserve">Muhammad Daffa Abyansyah </t>
  </si>
  <si>
    <t>Fakultas Pertanian</t>
  </si>
  <si>
    <t>Agroteknologi</t>
  </si>
  <si>
    <t>24013010342@student.upnjatim.ac.id</t>
  </si>
  <si>
    <t>Najdah Nabiha Efendi</t>
  </si>
  <si>
    <t>Fakultas Ekonomi dan Bisnis</t>
  </si>
  <si>
    <t>Akuntansi</t>
  </si>
  <si>
    <t>24013010378@student.upnjatim.ac.id</t>
  </si>
  <si>
    <t xml:space="preserve">Bella Anantha Ekytasari </t>
  </si>
  <si>
    <t>24013010251@student.upnjatim.ac.id</t>
  </si>
  <si>
    <t xml:space="preserve">M Wafi </t>
  </si>
  <si>
    <t>septiaulia691@gmail.com</t>
  </si>
  <si>
    <t>Aulia Septi Indira</t>
  </si>
  <si>
    <t>24013010257@student.upnjatim.ac.id</t>
  </si>
  <si>
    <t>Damai Rosepandanwangi</t>
  </si>
  <si>
    <t>nellaartika07@gmail.com</t>
  </si>
  <si>
    <t>Nella Artika</t>
  </si>
  <si>
    <t>24013010169@student.upnjatim.ac.id</t>
  </si>
  <si>
    <t xml:space="preserve">Alvinna Istiawanda </t>
  </si>
  <si>
    <t>24013010194@student.upnjatim.ac.id</t>
  </si>
  <si>
    <t>Naura Thirta Nugraha</t>
  </si>
  <si>
    <t>24013010187@student.upnjatim.ac.id</t>
  </si>
  <si>
    <t xml:space="preserve">Ade Zakaria Zulkarnaen </t>
  </si>
  <si>
    <t>24013010173@student.upnjatim.ac.id</t>
  </si>
  <si>
    <t>Annisa Rahma</t>
  </si>
  <si>
    <t>snzalikaa@gmail.com</t>
  </si>
  <si>
    <t>Siti Nur Zalika</t>
  </si>
  <si>
    <t>agistadearly@gmail.com</t>
  </si>
  <si>
    <t>Dearly Agista Yoliand</t>
  </si>
  <si>
    <t>24013010094@student.upnjatim.ac.id</t>
  </si>
  <si>
    <t xml:space="preserve">Erda Amalia Iffatul Maretha </t>
  </si>
  <si>
    <t>zenedinecamelia@gmail.com</t>
  </si>
  <si>
    <t xml:space="preserve">Zenedine Camelia Utomo </t>
  </si>
  <si>
    <t>24013010142@student.upnjatim.ac.id</t>
  </si>
  <si>
    <t>Nissa Sabilia Martha</t>
  </si>
  <si>
    <t>nauraindrifahriya@gmail.com</t>
  </si>
  <si>
    <t xml:space="preserve">Naura Indri Fahriya </t>
  </si>
  <si>
    <t>yeliraenumbi1@gmail.com</t>
  </si>
  <si>
    <t>Yelira Enumbi</t>
  </si>
  <si>
    <t>ariibah25@gmail.com</t>
  </si>
  <si>
    <t xml:space="preserve">Qoo'idahtul Ufairoh Ariibah </t>
  </si>
  <si>
    <t>24013010325@student.upnjatim.ac.id</t>
  </si>
  <si>
    <t xml:space="preserve">Gressa Clara Vandika Putri </t>
  </si>
  <si>
    <t>24047010013@student.upnjatim.ac.id</t>
  </si>
  <si>
    <t>Tasya Salsabila</t>
  </si>
  <si>
    <t>Bahasa Inggris untuk Komunikasi Bisnis dan Profesional</t>
  </si>
  <si>
    <t>joshuakurl1124@gmail.com</t>
  </si>
  <si>
    <t>Najwa Muhammad Al Makarim</t>
  </si>
  <si>
    <t>24084010004@student.upnjatim.ac.id</t>
  </si>
  <si>
    <t>Achmad adelard aflah afi putra</t>
  </si>
  <si>
    <t>Fakultas Ilmu Komputer</t>
  </si>
  <si>
    <t>Bisnis Digital</t>
  </si>
  <si>
    <t>sahiranailaa@gmail.com</t>
  </si>
  <si>
    <t>naila muthia sahira</t>
  </si>
  <si>
    <t>24052010067@student.upnjatim.ac.id</t>
  </si>
  <si>
    <t>sherly indah tri kusuma</t>
  </si>
  <si>
    <t>Fakultas Arsitektur dan Desain</t>
  </si>
  <si>
    <t>Desain Komunikasi Visual</t>
  </si>
  <si>
    <t>24037010010@student.upnjatim.ac.id</t>
  </si>
  <si>
    <t xml:space="preserve">Nabilah Damayanti </t>
  </si>
  <si>
    <t>Fakultas Teknik dan Sains</t>
  </si>
  <si>
    <t>Fisika</t>
  </si>
  <si>
    <t>24044010160@student.upnjatim.ac.id</t>
  </si>
  <si>
    <t>Shafina Rahmadina Mecca</t>
  </si>
  <si>
    <t>Hubungan Internasional</t>
  </si>
  <si>
    <t>reva19lina@gmail.com</t>
  </si>
  <si>
    <t>Revalina Rosshanti Bagus Putri</t>
  </si>
  <si>
    <t>kairrunnraa@gmail.com</t>
  </si>
  <si>
    <t xml:space="preserve">Mutiara Khairun Nisa' </t>
  </si>
  <si>
    <t>Fakultas Hukum</t>
  </si>
  <si>
    <t>Ilmu Hukum</t>
  </si>
  <si>
    <t>25071010075@student.upnjatim.ac.id</t>
  </si>
  <si>
    <t>Maulidya Cahya Khalisa</t>
  </si>
  <si>
    <t>nraykhania@gmail.com</t>
  </si>
  <si>
    <t>Novia Dwi Raykhania</t>
  </si>
  <si>
    <t>24071010331@student.upnjatim.ac.id</t>
  </si>
  <si>
    <t>Devina Alandia Vista Irawan</t>
  </si>
  <si>
    <t>24043010272@student.upnjatim.ac.id</t>
  </si>
  <si>
    <t>Rena Tasya Pinkkan Anggraeni</t>
  </si>
  <si>
    <t>Ilmu Komunikasi</t>
  </si>
  <si>
    <t>24043010030@student.upnjatim.ac.id</t>
  </si>
  <si>
    <t>Mochamad Ardiansyah</t>
  </si>
  <si>
    <t>24043010309@student.upnjatim.ac.id</t>
  </si>
  <si>
    <t>Fahriza Maulidani</t>
  </si>
  <si>
    <t>24043010159@student.upnjatim.ac.id</t>
  </si>
  <si>
    <t xml:space="preserve">M. David Prayogo </t>
  </si>
  <si>
    <t>24043010287@student.upnjatim.ac.id</t>
  </si>
  <si>
    <t xml:space="preserve">Adiyatma Ibnu Herlambang </t>
  </si>
  <si>
    <t>saskyayumna123@gmail.com</t>
  </si>
  <si>
    <t>Saskya Yumna Febiani</t>
  </si>
  <si>
    <t>24043010033@student.upnjatim.ac.id</t>
  </si>
  <si>
    <t>Tisya Sabrina Deanova</t>
  </si>
  <si>
    <t>24043010154@student.upnjatim.ac.id</t>
  </si>
  <si>
    <t>Berlian Utami Putri</t>
  </si>
  <si>
    <t>raniahratu06@gmail.com</t>
  </si>
  <si>
    <t>Ratu Raniah Ramtani</t>
  </si>
  <si>
    <t>Kegiatan Organisasi atau Kepanitiaan</t>
  </si>
  <si>
    <t>24043010205@student.upnjatim.ac.id</t>
  </si>
  <si>
    <t xml:space="preserve">Nazriel Aurellio </t>
  </si>
  <si>
    <t>24043010220@student.upnjatim.ac.id</t>
  </si>
  <si>
    <t xml:space="preserve">Otniel Felix Nugroho </t>
  </si>
  <si>
    <t>revmahanaim7@gmail.com</t>
  </si>
  <si>
    <t>Rev Mahanaim Barna</t>
  </si>
  <si>
    <t>24043010343@student.upnjatim.ac.id</t>
  </si>
  <si>
    <t xml:space="preserve">Sintike Olivia Ndraha </t>
  </si>
  <si>
    <t>24043010083@student.upnjatim.ac.id</t>
  </si>
  <si>
    <t xml:space="preserve">Esther Elizabeth </t>
  </si>
  <si>
    <t>24043010203@student.upnjatim.ac.id</t>
  </si>
  <si>
    <t>Immanuel Hotmartua Benedictus</t>
  </si>
  <si>
    <t>24043010063@student.upnjatim.ac.id</t>
  </si>
  <si>
    <t>Ahmad Fadhel Arifin</t>
  </si>
  <si>
    <t>24043010140@student.upnjatim.ac.id</t>
  </si>
  <si>
    <t>Risang Harimurti</t>
  </si>
  <si>
    <t>22043010196@student.upnjatim.ac.id</t>
  </si>
  <si>
    <t>Adelia Aura</t>
  </si>
  <si>
    <t>22043010188@student.upnjatim.ac.id</t>
  </si>
  <si>
    <t>Auraora N</t>
  </si>
  <si>
    <t>22043010213@student.upnjatim.ac.id</t>
  </si>
  <si>
    <t>Melisa ivana</t>
  </si>
  <si>
    <t>22043010199@student.upnjatim.ac.id</t>
  </si>
  <si>
    <t xml:space="preserve">Restu Krissintya Meliana </t>
  </si>
  <si>
    <t>22043010201@student.upnjatim.ac.id</t>
  </si>
  <si>
    <t>Dinita</t>
  </si>
  <si>
    <t>22043010251@student.upnjatim.ac.id</t>
  </si>
  <si>
    <t>devita alysha</t>
  </si>
  <si>
    <t>nindridinma7@gmail.com</t>
  </si>
  <si>
    <t>Nindry Dinma Eka Rahayu</t>
  </si>
  <si>
    <t>kepenproject@gmail.com</t>
  </si>
  <si>
    <t>Kevin Rigar Putra</t>
  </si>
  <si>
    <t>25043010040@student.upnjatim.ac.id</t>
  </si>
  <si>
    <t>Safira Larasati</t>
  </si>
  <si>
    <t>25043010043@student.upnjatim.ac.id</t>
  </si>
  <si>
    <t>Kirana Aura Zahy</t>
  </si>
  <si>
    <t>25043010032@student.upnjatim.ac.id</t>
  </si>
  <si>
    <t xml:space="preserve">Nuramalina Rossadi </t>
  </si>
  <si>
    <t>24043010281@student.upnjatim.ac.id</t>
  </si>
  <si>
    <t>Rhasendra syifa putra indrawan</t>
  </si>
  <si>
    <t>akundonlodr@gmail.com</t>
  </si>
  <si>
    <t>Ibnu Reza Baihaqi Ramadhan</t>
  </si>
  <si>
    <t>24081010258@student.upnjatim.ac.id</t>
  </si>
  <si>
    <t xml:space="preserve">Dandy Totti Firmansyah </t>
  </si>
  <si>
    <t>Informatika</t>
  </si>
  <si>
    <t>24081010244@student.upnjatim.ac.id</t>
  </si>
  <si>
    <t>Moch. Khorifudin Ardiansyah</t>
  </si>
  <si>
    <t>23081010033@student.upnjatim.ac.id</t>
  </si>
  <si>
    <t>Rega Yuancahya Faiz Kristama</t>
  </si>
  <si>
    <t>23081010244@student.upnjatim.ac.id</t>
  </si>
  <si>
    <t>FAYDZAKI ANANTA PUTRA</t>
  </si>
  <si>
    <t>24081010023@student.upnjatim.ac.id</t>
  </si>
  <si>
    <t xml:space="preserve">Ananda Hariadi </t>
  </si>
  <si>
    <t>agselsalman@gmail.com</t>
  </si>
  <si>
    <t>Agsel Salman Alfarisi</t>
  </si>
  <si>
    <t>informatics.dzulfiqar@gmail.com</t>
  </si>
  <si>
    <t xml:space="preserve">MUHAMMAD DZULFIQAR RIEVAN HIZBULLAH </t>
  </si>
  <si>
    <t>chelvinramadani@gmail.com</t>
  </si>
  <si>
    <t>Chelvin Ramadani Yulianto</t>
  </si>
  <si>
    <t>gredy24chris@gmail.com</t>
  </si>
  <si>
    <t>Gredy Christian Hendrawan Putra</t>
  </si>
  <si>
    <t>24081010328@student.upnjatim.ac.id</t>
  </si>
  <si>
    <t>Aryo Bagus Satrio Wicaksono</t>
  </si>
  <si>
    <t>haikalmadani97@gmail.com</t>
  </si>
  <si>
    <t xml:space="preserve">Muhammad Haikal Hakam Madani </t>
  </si>
  <si>
    <t>Manajemen</t>
  </si>
  <si>
    <t>alfiansyafirul15@gmail.com</t>
  </si>
  <si>
    <t>Alfian Syafirul Neza</t>
  </si>
  <si>
    <t>23083010048@student.upnjatim.ac.id</t>
  </si>
  <si>
    <t>Aditya Putra Ananta</t>
  </si>
  <si>
    <t>Sains Data</t>
  </si>
  <si>
    <t>24083010004@student.upnjatim.ac.id</t>
  </si>
  <si>
    <t>Saif Ali Zaky Ashiblie</t>
  </si>
  <si>
    <t>raveenaayu@gmail.com</t>
  </si>
  <si>
    <t>Raveena Ayu Desember Suryoputri</t>
  </si>
  <si>
    <t>alfaromuchlisun04@gmail.com</t>
  </si>
  <si>
    <t>Alfaro Alamsyah Muchlisun</t>
  </si>
  <si>
    <t>oline.ola06@gmail.com</t>
  </si>
  <si>
    <t xml:space="preserve">Oline Ola Fadhillah </t>
  </si>
  <si>
    <t>22083010109@student.upnjatim.ac.id</t>
  </si>
  <si>
    <t xml:space="preserve">Rafi Imam Dwiyanto </t>
  </si>
  <si>
    <t>24083010019@student.upnjatim.ac.id</t>
  </si>
  <si>
    <t>Hizkia Samhan Rezayoshi</t>
  </si>
  <si>
    <t>22083010078@student.upnjatim.ac.id</t>
  </si>
  <si>
    <t>Hanif Ziva Zavira</t>
  </si>
  <si>
    <t>Tidak Setuju</t>
  </si>
  <si>
    <t>23083010075@student.upnjatim.ac.id</t>
  </si>
  <si>
    <t>adenda khairunisa</t>
  </si>
  <si>
    <t>23083010077@student.upnjatim.ac.id</t>
  </si>
  <si>
    <t>Lina Rhomaningtias</t>
  </si>
  <si>
    <t>24083010080@student.upnjatim.ac.id</t>
  </si>
  <si>
    <t xml:space="preserve">Retno Puji Astuti </t>
  </si>
  <si>
    <t>24083010064@student.upnjatim.ac.id</t>
  </si>
  <si>
    <t>Fabio Arayya Pratama</t>
  </si>
  <si>
    <t>23083010071@student.upnjatim.ac.id</t>
  </si>
  <si>
    <t>Sigit Triyono</t>
  </si>
  <si>
    <t>23083010035@student.upnjatim.ac.id</t>
  </si>
  <si>
    <t>Salman Ahmed</t>
  </si>
  <si>
    <t>23083010098@student.upnjatim.ac.id</t>
  </si>
  <si>
    <t xml:space="preserve">Daffa Maulana Briliansyah </t>
  </si>
  <si>
    <t>23083010022@student.upnjatim.ac.id</t>
  </si>
  <si>
    <t>Shifa Elmaliyasari</t>
  </si>
  <si>
    <t>22083010108@student.upnjatim.ac.id</t>
  </si>
  <si>
    <t>R. Taufik Utomo Iswanindra Kusuma</t>
  </si>
  <si>
    <t>Sangat Tidak Setuju</t>
  </si>
  <si>
    <t>24083010029@student.upnjatim.ac.id</t>
  </si>
  <si>
    <t>Yohanes Olvin Jun Sole</t>
  </si>
  <si>
    <t>alfilansyahmawardi@gmail.com</t>
  </si>
  <si>
    <t>Alfilansyah idham chalid mawardi</t>
  </si>
  <si>
    <t>23083010063@student.upnjatim.ac.id</t>
  </si>
  <si>
    <t xml:space="preserve">Zaydan Arief Athallah </t>
  </si>
  <si>
    <t>24083010105@student.upnjatim.ac.id</t>
  </si>
  <si>
    <t xml:space="preserve">Indra Maulana </t>
  </si>
  <si>
    <t>24083010083@student.upnjatim.ac.id</t>
  </si>
  <si>
    <t xml:space="preserve">Salwa Zahra Rahmawati </t>
  </si>
  <si>
    <t>24083010018@student.upnjatim.ac.id</t>
  </si>
  <si>
    <t>M. Miko abiansah</t>
  </si>
  <si>
    <t>24083010051@student.upnjatim.ac.id</t>
  </si>
  <si>
    <t xml:space="preserve">Diah Anggraini </t>
  </si>
  <si>
    <t>24083010065@student.upnjatim.ac.id</t>
  </si>
  <si>
    <t>Diva Anggraeni</t>
  </si>
  <si>
    <t>24083010041@student.upnjatim.ac.id</t>
  </si>
  <si>
    <t>Sulaiman Abhinaya Praditya</t>
  </si>
  <si>
    <t>24083010082@student.upnjatim.ac.id</t>
  </si>
  <si>
    <t>Ahmad Dzaki Mursyidan</t>
  </si>
  <si>
    <t>24083010120@student.upnjatim.ac.id</t>
  </si>
  <si>
    <t>Khairunisa Olive Ektha</t>
  </si>
  <si>
    <t>24083010033@student.upnjatim.ac.id</t>
  </si>
  <si>
    <t xml:space="preserve">Alifah Zuhrah Ulyya Suhada </t>
  </si>
  <si>
    <t>24083010115@student.upnjatim.ac.id</t>
  </si>
  <si>
    <t>Najwa Sofia</t>
  </si>
  <si>
    <t>23083010052@student.upnjatim.ac.id</t>
  </si>
  <si>
    <t>Jovanka Vania Gunawan</t>
  </si>
  <si>
    <t>24083010085@student.upnjatim.ac.id</t>
  </si>
  <si>
    <t>Elina Putri</t>
  </si>
  <si>
    <t>24083010089@student.upnjatim.ac.id</t>
  </si>
  <si>
    <t>Laudya Meitaneia Sianturi</t>
  </si>
  <si>
    <t>24083010107@student.upnjatim.ac.id</t>
  </si>
  <si>
    <t>Gusti Jogishwara</t>
  </si>
  <si>
    <t>23083010046@student.upnjatim.ac.id</t>
  </si>
  <si>
    <t>Steffany Marcellia Witanto</t>
  </si>
  <si>
    <t>24083010058@student.upnjatim.ac.id</t>
  </si>
  <si>
    <t>Desi Nofitasari</t>
  </si>
  <si>
    <t>24083010100@student.upnjatim.ac.id</t>
  </si>
  <si>
    <t>Nerissabila Uswatun Istiqomah</t>
  </si>
  <si>
    <t>23083010100@student.upnjatim.ac.id</t>
  </si>
  <si>
    <t>Marthalia K</t>
  </si>
  <si>
    <t>24083010030@student.upnjatim.ac.id</t>
  </si>
  <si>
    <t>R. Syailindra Alfarraiel</t>
  </si>
  <si>
    <t>24083010094@student.upnjatim.ac.id</t>
  </si>
  <si>
    <t xml:space="preserve">Puri Khairunisa Rahma </t>
  </si>
  <si>
    <t>24083010097@student.upnjatim.ac.id</t>
  </si>
  <si>
    <t>Evelyna Kamila</t>
  </si>
  <si>
    <t>25083010149@student.upnjatim.ac.id</t>
  </si>
  <si>
    <t>ARINA ROCHMATIKA</t>
  </si>
  <si>
    <t>25083010066@student.upnjatim.ac.id</t>
  </si>
  <si>
    <t>Miftakhul Aulia Zuhrotun Nisa'</t>
  </si>
  <si>
    <t>24083010038@student.upnjatim.ac.id</t>
  </si>
  <si>
    <t>Anindya Restu Shafara</t>
  </si>
  <si>
    <t>febrianiyolanda63@gmail.com</t>
  </si>
  <si>
    <t>Febriani yolanda tessalonika</t>
  </si>
  <si>
    <t>24083010071@student.upnjatim.ac.id</t>
  </si>
  <si>
    <t>Muhammad Shaquille Syafiq</t>
  </si>
  <si>
    <t>22082010199@student.upnjatim.ac.id</t>
  </si>
  <si>
    <t xml:space="preserve">Aldi Bagus Hermawan </t>
  </si>
  <si>
    <t>Sistem Informasi</t>
  </si>
  <si>
    <t>abdillahemha@gmail.com</t>
  </si>
  <si>
    <t>Moch. Abdillah Emha Ramdhani</t>
  </si>
  <si>
    <t>24082010245@student.upnjatim.ac.id</t>
  </si>
  <si>
    <t xml:space="preserve">Andre Luhut Jairus Ompusunggu </t>
  </si>
  <si>
    <t>lampencarozi@gmail.com</t>
  </si>
  <si>
    <t>Ahmad Fauzil Adzim</t>
  </si>
  <si>
    <t>24032010068@student.upnjatim.ac.id</t>
  </si>
  <si>
    <t>Omar Farouq Alvarezy</t>
  </si>
  <si>
    <t>Teknik Industri</t>
  </si>
  <si>
    <t>24031010047@student.upnjatim.ac.id</t>
  </si>
  <si>
    <t xml:space="preserve">Huri Rodhiyana Sepia </t>
  </si>
  <si>
    <t>Teknik Kimia</t>
  </si>
  <si>
    <t>24035010018@student.upnjatim.ac.id</t>
  </si>
  <si>
    <t>Virgiana Listianti</t>
  </si>
  <si>
    <t>Teknik Sipil</t>
  </si>
  <si>
    <t>24035010168@student.upnjatim.ac.id</t>
  </si>
  <si>
    <t>Nandhita Rahmanda</t>
  </si>
  <si>
    <t>24035010190@student.upnjatim.ac.id</t>
  </si>
  <si>
    <t xml:space="preserve">Adinda Dwi </t>
  </si>
  <si>
    <t>24035010046@student.upnjatim.ac.id</t>
  </si>
  <si>
    <t>Ulul Azmi Hubaidillah</t>
  </si>
  <si>
    <t>24035010152@student.upnjatim.ac.id</t>
  </si>
  <si>
    <t xml:space="preserve">Muhammad Aldiansyah </t>
  </si>
  <si>
    <r>
      <rPr>
        <rFont val="Arial"/>
        <b/>
        <color theme="1"/>
      </rPr>
      <t>Program Studi</t>
    </r>
    <r>
      <rPr>
        <rFont val="Arial"/>
        <i/>
        <color theme="1"/>
      </rPr>
      <t xml:space="preserve">
Contoh: Sains Data</t>
    </r>
  </si>
  <si>
    <r>
      <rPr>
        <rFont val="Arial"/>
        <b/>
        <color theme="1"/>
      </rPr>
      <t>No WhatsApp</t>
    </r>
    <r>
      <rPr>
        <rFont val="Arial"/>
        <i/>
        <color theme="1"/>
      </rPr>
      <t xml:space="preserve">
Contoh: 6281234567890</t>
    </r>
  </si>
  <si>
    <r>
      <rPr>
        <rFont val="Arial"/>
        <b/>
        <color theme="1"/>
      </rPr>
      <t>1. Berapa orang yang termasuk dalam circle pertemanan terdekat Anda? (... orang)</t>
    </r>
    <r>
      <rPr>
        <rFont val="Arial"/>
        <i/>
        <color theme="1"/>
      </rPr>
      <t xml:space="preserve">
Contoh: 3</t>
    </r>
  </si>
  <si>
    <r>
      <rPr>
        <rFont val="Arial"/>
        <b/>
        <color theme="1"/>
      </rPr>
      <t xml:space="preserve">3. Seberapa sering Anda bertemu dengan circle pertemanan dalam 1 minggu? (... kali) </t>
    </r>
    <r>
      <rPr>
        <rFont val="Arial"/>
        <i/>
        <color theme="1"/>
      </rPr>
      <t xml:space="preserve">
Contoh: 7</t>
    </r>
  </si>
  <si>
    <r>
      <rPr>
        <rFont val="Arial"/>
        <b/>
        <color theme="1"/>
      </rPr>
      <t>4. Seberapa sering Anda belajar bersama circle pertemanan dalam 1 minggu? (... kali)</t>
    </r>
    <r>
      <rPr>
        <rFont val="Arial"/>
        <i/>
        <color theme="1"/>
      </rPr>
      <t xml:space="preserve">
Contoh: 5</t>
    </r>
  </si>
  <si>
    <r>
      <rPr>
        <rFont val="Arial"/>
        <b/>
        <color theme="1"/>
      </rPr>
      <t>10. Berapa jam rata-rata Anda belajar setiap hari setelah berkumpul dengan teman kuliah Anda? (... jam)</t>
    </r>
    <r>
      <rPr>
        <rFont val="Arial"/>
        <i/>
        <color theme="1"/>
      </rPr>
      <t xml:space="preserve">
Contoh: 1 </t>
    </r>
  </si>
  <si>
    <t>ANGKATAN</t>
  </si>
  <si>
    <t>PRODI</t>
  </si>
  <si>
    <t>Fakultas ilmu komputer</t>
  </si>
  <si>
    <t>Fakultas Kedokteran</t>
  </si>
  <si>
    <t xml:space="preserve">Sains Data </t>
  </si>
  <si>
    <t xml:space="preserve">Informatika </t>
  </si>
  <si>
    <t>JUMLAH</t>
  </si>
  <si>
    <t>SADA 24</t>
  </si>
  <si>
    <t>FASILKOM</t>
  </si>
  <si>
    <t xml:space="preserve">BEBAS </t>
  </si>
  <si>
    <t>TARGET</t>
  </si>
  <si>
    <t xml:space="preserve">Administrasi publik </t>
  </si>
  <si>
    <t>KURANG</t>
  </si>
  <si>
    <t xml:space="preserve">Sistem Informasi </t>
  </si>
  <si>
    <t>TOTAL CLEAR</t>
  </si>
  <si>
    <t xml:space="preserve">Manajemen </t>
  </si>
  <si>
    <t xml:space="preserve">Administrasi Bisnis </t>
  </si>
  <si>
    <t xml:space="preserve">Ilmu Komunikasi </t>
  </si>
  <si>
    <t>llmu Hukum</t>
  </si>
  <si>
    <t>nabil99fahmi@gmail.com</t>
  </si>
  <si>
    <t>Mas Boiy</t>
  </si>
  <si>
    <t xml:space="preserve">Teknik Industri </t>
  </si>
  <si>
    <t>24083010090@student.upnjatim.ac.id</t>
  </si>
  <si>
    <t xml:space="preserve">Adrian Veda Darmawan </t>
  </si>
  <si>
    <t xml:space="preserve">Akuntansi </t>
  </si>
  <si>
    <t xml:space="preserve">Ilmu komunikasi </t>
  </si>
  <si>
    <t>administrasi bisnis</t>
  </si>
  <si>
    <t xml:space="preserve">Agroteknologi </t>
  </si>
  <si>
    <t>Bahasa Inggris Untuk Komunikasi Bisnis dan Profesional</t>
  </si>
  <si>
    <t xml:space="preserve">Hubungan Internasional </t>
  </si>
  <si>
    <t>desain komunikasi visual</t>
  </si>
  <si>
    <t>Ilmu Komputer</t>
  </si>
  <si>
    <t>24081010264@student.upnjatim.ac.id</t>
  </si>
  <si>
    <t>m damsi k</t>
  </si>
  <si>
    <t>informatika</t>
  </si>
  <si>
    <t xml:space="preserve">Administrasi Publik </t>
  </si>
  <si>
    <t xml:space="preserve">administrasi publik </t>
  </si>
  <si>
    <t>Ilmu komunikasi</t>
  </si>
  <si>
    <t>Sains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</si>
</sst>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202124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165" xfId="0" applyFont="1" applyNumberForma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2" fontId="3" numFmtId="0" xfId="0" applyAlignment="1" applyFill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Cle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65" displayName="Form_Responses_2" name="Form_Responses_2" id="1">
  <autoFilter ref="$A$1:$R$165"/>
  <tableColumns count="18">
    <tableColumn name="Timestamp" id="1"/>
    <tableColumn name="Email Address" id="2"/>
    <tableColumn name="Apakah Anda bersedia mengisi pertanyaan-pertanyaan berikut ini?" id="3"/>
    <tableColumn name="Nama Lengkap" id="4"/>
    <tableColumn name="NPM" id="5"/>
    <tableColumn name="Fakultas" id="6"/>
    <tableColumn name="Program Studi_x000a_Contoh: Sains Data" id="7"/>
    <tableColumn name="No WhatsApp_x000a_Contoh: 6281234567890" id="8"/>
    <tableColumn name="1. Berapa orang yang termasuk dalam circle pertemanan terdekat Anda? (... orang)_x000a_Contoh: 3" id="9"/>
    <tableColumn name="2. Apa bentuk interaksi dominan dalam circle Anda?" id="10"/>
    <tableColumn name="3. Seberapa sering Anda bertemu dengan circle pertemanan dalam 1 minggu? (... kali) _x000a_Contoh: 7" id="11"/>
    <tableColumn name="4. Seberapa sering Anda belajar bersama circle pertemanan dalam 1 minggu? (... kali)_x000a_Contoh: 5" id="12"/>
    <tableColumn name="5. Apa bentuk dukungan yang paling sering diberikan circle pertemanan Anda dalam memotivasi belajar?" id="13"/>
    <tableColumn name=" 6. Apakah circle pertemanan Anda mengganggu kegiatan akademik di perkuliahan? " id="14"/>
    <tableColumn name="7. Seberapa setuju Anda bahwa circle pertemanan dapat meningkatkan motivasi belajar Anda?" id="15"/>
    <tableColumn name="8. Dari skala 1–5, seberapa konsisten circle pertemanan Anda mendorong Anda untuk tetap fokus belajar?" id="16"/>
    <tableColumn name="9. Dari skala 1–5, seberapa besar circle pertemanan Anda memotivasi Anda untuk menyelesaikan tugas tepat waktu?" id="17"/>
    <tableColumn name="10. Berapa jam rata-rata Anda belajar setiap hari setelah berkumpul dengan teman kuliah Anda? (... jam)_x000a_Contoh: 1 " id="18"/>
  </tableColumns>
  <tableStyleInfo name="Clean-style" showColumnStripes="0" showFirstColumn="1" showLastColumn="1" showRowStripes="1"/>
</table>
</file>

<file path=xl/tables/table2.xml><?xml version="1.0" encoding="utf-8"?>
<table xmlns="http://schemas.openxmlformats.org/spreadsheetml/2006/main" ref="A1:R168" displayName="Form_Responses" name="Form_Responses" id="2">
  <autoFilter ref="$A$1:$R$168"/>
  <tableColumns count="18">
    <tableColumn name="Timestamp" id="1"/>
    <tableColumn name="Email Address" id="2"/>
    <tableColumn name="Apakah Anda bersedia mengisi pertanyaan-pertanyaan berikut ini?" id="3"/>
    <tableColumn name="Nama Lengkap" id="4"/>
    <tableColumn name="NPM" id="5"/>
    <tableColumn name="Fakultas" id="6"/>
    <tableColumn name="Program Studi_x000a_Contoh: Sains Data" id="7"/>
    <tableColumn name="No WhatsApp_x000a_Contoh: 6281234567890" id="8"/>
    <tableColumn name="1. Berapa orang yang termasuk dalam circle pertemanan terdekat Anda? (... orang)_x000a_Contoh: 3" id="9"/>
    <tableColumn name="2. Apa bentuk interaksi dominan dalam circle Anda?" id="10"/>
    <tableColumn name="3. Seberapa sering Anda bertemu dengan circle pertemanan dalam 1 minggu? (... kali) _x000a_Contoh: 7" id="11"/>
    <tableColumn name="4. Seberapa sering Anda belajar bersama circle pertemanan dalam 1 minggu? (... kali)_x000a_Contoh: 5" id="12"/>
    <tableColumn name="5. Apa bentuk dukungan yang paling sering diberikan circle pertemanan Anda dalam memotivasi belajar?" id="13"/>
    <tableColumn name=" 6. Apakah circle pertemanan Anda mengganggu kegiatan akademik di perkuliahan? " id="14"/>
    <tableColumn name="7. Seberapa setuju Anda bahwa circle pertemanan dapat meningkatkan motivasi belajar Anda?" id="15"/>
    <tableColumn name="8. Dari skala 1–5, seberapa konsisten circle pertemanan Anda mendorong Anda untuk tetap fokus belajar?" id="16"/>
    <tableColumn name="9. Dari skala 1–5, seberapa besar circle pertemanan Anda memotivasi Anda untuk menyelesaikan tugas tepat waktu?" id="17"/>
    <tableColumn name="10. Berapa jam rata-rata Anda belajar setiap hari setelah berkumpul dengan teman kuliah Anda? (... jam)_x000a_Contoh: 1 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6.88"/>
    <col customWidth="1" min="4" max="4" width="27.5"/>
    <col customWidth="1" min="5" max="5" width="14.63"/>
    <col customWidth="1" min="6" max="6" width="33.38"/>
    <col customWidth="1" min="7" max="7" width="26.5"/>
    <col customWidth="1" min="8" max="8" width="20.88"/>
    <col customWidth="1" min="9" max="12" width="37.63"/>
    <col customWidth="1" min="13" max="13" width="44.75"/>
    <col customWidth="1" min="14" max="14" width="37.63"/>
    <col customWidth="1" min="15" max="15" width="48.25"/>
    <col customWidth="1" min="16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ht="22.5" customHeight="1">
      <c r="A2" s="4">
        <v>45910.43641363426</v>
      </c>
      <c r="B2" s="5" t="s">
        <v>18</v>
      </c>
      <c r="C2" s="5" t="s">
        <v>19</v>
      </c>
      <c r="D2" s="5" t="s">
        <v>20</v>
      </c>
      <c r="E2" s="5">
        <v>2.1042010097E10</v>
      </c>
      <c r="F2" s="5" t="s">
        <v>21</v>
      </c>
      <c r="G2" s="5" t="s">
        <v>22</v>
      </c>
      <c r="H2" s="5">
        <v>6.2881026225969E13</v>
      </c>
      <c r="I2" s="6">
        <v>8.0</v>
      </c>
      <c r="J2" s="5" t="s">
        <v>23</v>
      </c>
      <c r="K2" s="6">
        <v>1.0</v>
      </c>
      <c r="L2" s="6">
        <v>1.0</v>
      </c>
      <c r="M2" s="5" t="s">
        <v>24</v>
      </c>
      <c r="N2" s="5" t="s">
        <v>25</v>
      </c>
      <c r="O2" s="5" t="s">
        <v>26</v>
      </c>
      <c r="P2" s="6">
        <v>5.0</v>
      </c>
      <c r="Q2" s="6">
        <v>5.0</v>
      </c>
      <c r="R2" s="6">
        <v>2.0</v>
      </c>
      <c r="V2" s="7"/>
    </row>
    <row r="3" ht="22.5" customHeight="1">
      <c r="A3" s="4">
        <v>45911.47318644676</v>
      </c>
      <c r="B3" s="5" t="s">
        <v>27</v>
      </c>
      <c r="C3" s="5" t="s">
        <v>19</v>
      </c>
      <c r="D3" s="5" t="s">
        <v>28</v>
      </c>
      <c r="E3" s="5">
        <v>2.5042010031E10</v>
      </c>
      <c r="F3" s="5" t="s">
        <v>21</v>
      </c>
      <c r="G3" s="5" t="s">
        <v>22</v>
      </c>
      <c r="H3" s="5">
        <v>6.285232776438E12</v>
      </c>
      <c r="I3" s="5">
        <v>3.0</v>
      </c>
      <c r="J3" s="5" t="s">
        <v>23</v>
      </c>
      <c r="K3" s="5">
        <v>7.0</v>
      </c>
      <c r="L3" s="5">
        <v>7.0</v>
      </c>
      <c r="M3" s="5" t="s">
        <v>24</v>
      </c>
      <c r="N3" s="5" t="s">
        <v>25</v>
      </c>
      <c r="O3" s="5" t="s">
        <v>29</v>
      </c>
      <c r="P3" s="5">
        <v>2.0</v>
      </c>
      <c r="Q3" s="5">
        <v>3.0</v>
      </c>
      <c r="R3" s="5">
        <v>1.0</v>
      </c>
      <c r="V3" s="7"/>
    </row>
    <row r="4" ht="22.5" customHeight="1">
      <c r="A4" s="4">
        <v>45911.47483229167</v>
      </c>
      <c r="B4" s="5" t="s">
        <v>30</v>
      </c>
      <c r="C4" s="5" t="s">
        <v>19</v>
      </c>
      <c r="D4" s="5" t="s">
        <v>31</v>
      </c>
      <c r="E4" s="5">
        <v>2.5042010187E10</v>
      </c>
      <c r="F4" s="5" t="s">
        <v>21</v>
      </c>
      <c r="G4" s="5" t="s">
        <v>22</v>
      </c>
      <c r="H4" s="5">
        <v>6.281280579596E12</v>
      </c>
      <c r="I4" s="5">
        <v>3.0</v>
      </c>
      <c r="J4" s="5" t="s">
        <v>23</v>
      </c>
      <c r="K4" s="5">
        <v>5.0</v>
      </c>
      <c r="L4" s="5">
        <v>2.0</v>
      </c>
      <c r="M4" s="5" t="s">
        <v>24</v>
      </c>
      <c r="N4" s="5" t="s">
        <v>25</v>
      </c>
      <c r="O4" s="5" t="s">
        <v>29</v>
      </c>
      <c r="P4" s="5">
        <v>3.0</v>
      </c>
      <c r="Q4" s="5">
        <v>4.0</v>
      </c>
      <c r="R4" s="5">
        <v>1.0</v>
      </c>
      <c r="V4" s="7"/>
    </row>
    <row r="5" ht="22.5" customHeight="1">
      <c r="A5" s="4">
        <v>45911.47536398148</v>
      </c>
      <c r="B5" s="5" t="s">
        <v>32</v>
      </c>
      <c r="C5" s="5" t="s">
        <v>19</v>
      </c>
      <c r="D5" s="5" t="s">
        <v>33</v>
      </c>
      <c r="E5" s="5">
        <v>2.5042010018E10</v>
      </c>
      <c r="F5" s="5" t="s">
        <v>21</v>
      </c>
      <c r="G5" s="5" t="s">
        <v>22</v>
      </c>
      <c r="H5" s="5">
        <v>6.285816373438E12</v>
      </c>
      <c r="I5" s="5">
        <v>4.0</v>
      </c>
      <c r="J5" s="5" t="s">
        <v>34</v>
      </c>
      <c r="K5" s="5">
        <v>4.0</v>
      </c>
      <c r="L5" s="5">
        <v>4.0</v>
      </c>
      <c r="M5" s="5" t="s">
        <v>24</v>
      </c>
      <c r="N5" s="5" t="s">
        <v>25</v>
      </c>
      <c r="O5" s="5" t="s">
        <v>35</v>
      </c>
      <c r="P5" s="5">
        <v>3.0</v>
      </c>
      <c r="Q5" s="5">
        <v>3.0</v>
      </c>
      <c r="R5" s="5">
        <v>4.0</v>
      </c>
      <c r="V5" s="7"/>
    </row>
    <row r="6" ht="22.5" customHeight="1">
      <c r="A6" s="4">
        <v>45911.92372511574</v>
      </c>
      <c r="B6" s="5" t="s">
        <v>36</v>
      </c>
      <c r="C6" s="5" t="s">
        <v>19</v>
      </c>
      <c r="D6" s="5" t="s">
        <v>37</v>
      </c>
      <c r="E6" s="5">
        <v>2.4042010259E10</v>
      </c>
      <c r="F6" s="5" t="s">
        <v>21</v>
      </c>
      <c r="G6" s="5" t="s">
        <v>22</v>
      </c>
      <c r="H6" s="5">
        <v>6.285850040771E12</v>
      </c>
      <c r="I6" s="5">
        <v>6.0</v>
      </c>
      <c r="J6" s="5" t="s">
        <v>34</v>
      </c>
      <c r="K6" s="5">
        <v>4.0</v>
      </c>
      <c r="L6" s="5">
        <v>4.0</v>
      </c>
      <c r="M6" s="5" t="s">
        <v>24</v>
      </c>
      <c r="N6" s="5" t="s">
        <v>25</v>
      </c>
      <c r="O6" s="5" t="s">
        <v>29</v>
      </c>
      <c r="P6" s="5">
        <v>3.0</v>
      </c>
      <c r="Q6" s="5">
        <v>3.0</v>
      </c>
      <c r="R6" s="5">
        <v>3.0</v>
      </c>
      <c r="V6" s="7"/>
    </row>
    <row r="7" ht="22.5" customHeight="1">
      <c r="A7" s="4">
        <v>45912.41026502315</v>
      </c>
      <c r="B7" s="5" t="s">
        <v>38</v>
      </c>
      <c r="C7" s="5" t="s">
        <v>19</v>
      </c>
      <c r="D7" s="5" t="s">
        <v>39</v>
      </c>
      <c r="E7" s="5">
        <v>2.5042010008E10</v>
      </c>
      <c r="F7" s="5" t="s">
        <v>21</v>
      </c>
      <c r="G7" s="5" t="s">
        <v>22</v>
      </c>
      <c r="H7" s="5">
        <v>6.285782193948E12</v>
      </c>
      <c r="I7" s="5">
        <v>5.0</v>
      </c>
      <c r="J7" s="5" t="s">
        <v>34</v>
      </c>
      <c r="K7" s="5">
        <v>5.0</v>
      </c>
      <c r="L7" s="5">
        <v>6.0</v>
      </c>
      <c r="M7" s="5" t="s">
        <v>24</v>
      </c>
      <c r="N7" s="5" t="s">
        <v>25</v>
      </c>
      <c r="O7" s="5" t="s">
        <v>26</v>
      </c>
      <c r="P7" s="5">
        <v>3.0</v>
      </c>
      <c r="Q7" s="5">
        <v>3.0</v>
      </c>
      <c r="R7" s="5">
        <v>1.0</v>
      </c>
      <c r="V7" s="7"/>
    </row>
    <row r="8" ht="22.5" customHeight="1">
      <c r="A8" s="4">
        <v>45912.41044732639</v>
      </c>
      <c r="B8" s="5" t="s">
        <v>40</v>
      </c>
      <c r="C8" s="5" t="s">
        <v>19</v>
      </c>
      <c r="D8" s="5" t="s">
        <v>41</v>
      </c>
      <c r="E8" s="5">
        <v>2.5042010034E10</v>
      </c>
      <c r="F8" s="5" t="s">
        <v>21</v>
      </c>
      <c r="G8" s="5" t="s">
        <v>22</v>
      </c>
      <c r="H8" s="5">
        <v>6.282265036176E12</v>
      </c>
      <c r="I8" s="5">
        <v>5.0</v>
      </c>
      <c r="J8" s="5" t="s">
        <v>34</v>
      </c>
      <c r="K8" s="5">
        <v>5.0</v>
      </c>
      <c r="L8" s="5">
        <v>6.0</v>
      </c>
      <c r="M8" s="5" t="s">
        <v>24</v>
      </c>
      <c r="N8" s="5" t="s">
        <v>25</v>
      </c>
      <c r="O8" s="5" t="s">
        <v>29</v>
      </c>
      <c r="P8" s="5">
        <v>3.0</v>
      </c>
      <c r="Q8" s="5">
        <v>3.0</v>
      </c>
      <c r="R8" s="5">
        <v>3.0</v>
      </c>
      <c r="V8" s="7"/>
    </row>
    <row r="9" ht="22.5" customHeight="1">
      <c r="A9" s="4">
        <v>45912.42179555555</v>
      </c>
      <c r="B9" s="5" t="s">
        <v>42</v>
      </c>
      <c r="C9" s="5" t="s">
        <v>19</v>
      </c>
      <c r="D9" s="5" t="s">
        <v>43</v>
      </c>
      <c r="E9" s="5">
        <v>2.5042010205E10</v>
      </c>
      <c r="F9" s="5" t="s">
        <v>21</v>
      </c>
      <c r="G9" s="5" t="s">
        <v>22</v>
      </c>
      <c r="H9" s="5">
        <v>6.285645814101E12</v>
      </c>
      <c r="I9" s="5">
        <v>5.0</v>
      </c>
      <c r="J9" s="5" t="s">
        <v>23</v>
      </c>
      <c r="K9" s="5">
        <v>5.0</v>
      </c>
      <c r="L9" s="5">
        <v>2.0</v>
      </c>
      <c r="M9" s="5" t="s">
        <v>24</v>
      </c>
      <c r="N9" s="5" t="s">
        <v>25</v>
      </c>
      <c r="O9" s="5" t="s">
        <v>29</v>
      </c>
      <c r="P9" s="5">
        <v>4.0</v>
      </c>
      <c r="Q9" s="5">
        <v>4.0</v>
      </c>
      <c r="R9" s="5">
        <v>1.0</v>
      </c>
      <c r="V9" s="7"/>
    </row>
    <row r="10" ht="22.5" customHeight="1">
      <c r="A10" s="4">
        <v>45912.42285101852</v>
      </c>
      <c r="B10" s="5" t="s">
        <v>44</v>
      </c>
      <c r="C10" s="5" t="s">
        <v>19</v>
      </c>
      <c r="D10" s="5" t="s">
        <v>45</v>
      </c>
      <c r="E10" s="5">
        <v>2.5042010298E10</v>
      </c>
      <c r="F10" s="5" t="s">
        <v>21</v>
      </c>
      <c r="G10" s="5" t="s">
        <v>22</v>
      </c>
      <c r="H10" s="5">
        <v>6.287864399356E12</v>
      </c>
      <c r="I10" s="5">
        <v>4.0</v>
      </c>
      <c r="J10" s="5" t="s">
        <v>23</v>
      </c>
      <c r="K10" s="5">
        <v>5.0</v>
      </c>
      <c r="L10" s="5">
        <v>3.0</v>
      </c>
      <c r="M10" s="5" t="s">
        <v>46</v>
      </c>
      <c r="N10" s="5" t="s">
        <v>25</v>
      </c>
      <c r="O10" s="5" t="s">
        <v>26</v>
      </c>
      <c r="P10" s="5">
        <v>5.0</v>
      </c>
      <c r="Q10" s="5">
        <v>4.0</v>
      </c>
      <c r="R10" s="5">
        <v>2.0</v>
      </c>
      <c r="V10" s="7"/>
    </row>
    <row r="11" ht="22.5" customHeight="1">
      <c r="A11" s="4">
        <v>45912.42336833333</v>
      </c>
      <c r="B11" s="5" t="s">
        <v>47</v>
      </c>
      <c r="C11" s="5" t="s">
        <v>19</v>
      </c>
      <c r="D11" s="5" t="s">
        <v>48</v>
      </c>
      <c r="E11" s="5">
        <v>2.4042010088E10</v>
      </c>
      <c r="F11" s="5" t="s">
        <v>21</v>
      </c>
      <c r="G11" s="5" t="s">
        <v>22</v>
      </c>
      <c r="H11" s="5">
        <v>6.285853281693E12</v>
      </c>
      <c r="I11" s="5">
        <v>6.0</v>
      </c>
      <c r="J11" s="5" t="s">
        <v>23</v>
      </c>
      <c r="K11" s="5">
        <v>5.0</v>
      </c>
      <c r="L11" s="5">
        <v>5.0</v>
      </c>
      <c r="M11" s="5" t="s">
        <v>49</v>
      </c>
      <c r="N11" s="5" t="s">
        <v>25</v>
      </c>
      <c r="O11" s="5" t="s">
        <v>26</v>
      </c>
      <c r="P11" s="5">
        <v>5.0</v>
      </c>
      <c r="Q11" s="5">
        <v>5.0</v>
      </c>
      <c r="R11" s="5">
        <v>4.0</v>
      </c>
      <c r="U11" s="8"/>
      <c r="V11" s="7"/>
    </row>
    <row r="12" ht="22.5" customHeight="1">
      <c r="A12" s="4">
        <v>45912.42469046296</v>
      </c>
      <c r="B12" s="5" t="s">
        <v>50</v>
      </c>
      <c r="C12" s="5" t="s">
        <v>19</v>
      </c>
      <c r="D12" s="5" t="s">
        <v>51</v>
      </c>
      <c r="E12" s="5">
        <v>2.5042010211E10</v>
      </c>
      <c r="F12" s="5" t="s">
        <v>21</v>
      </c>
      <c r="G12" s="5" t="s">
        <v>22</v>
      </c>
      <c r="H12" s="5">
        <v>6.28786014725E12</v>
      </c>
      <c r="I12" s="5">
        <v>3.0</v>
      </c>
      <c r="J12" s="5" t="s">
        <v>23</v>
      </c>
      <c r="K12" s="5">
        <v>5.0</v>
      </c>
      <c r="L12" s="5">
        <v>4.0</v>
      </c>
      <c r="M12" s="5" t="s">
        <v>49</v>
      </c>
      <c r="N12" s="5" t="s">
        <v>25</v>
      </c>
      <c r="O12" s="5" t="s">
        <v>29</v>
      </c>
      <c r="P12" s="5">
        <v>3.0</v>
      </c>
      <c r="Q12" s="5">
        <v>3.0</v>
      </c>
      <c r="R12" s="5">
        <v>1.0</v>
      </c>
      <c r="U12" s="8"/>
      <c r="V12" s="7"/>
    </row>
    <row r="13" ht="22.5" customHeight="1">
      <c r="A13" s="4">
        <v>45912.424852233795</v>
      </c>
      <c r="B13" s="5" t="s">
        <v>52</v>
      </c>
      <c r="C13" s="5" t="s">
        <v>19</v>
      </c>
      <c r="D13" s="5" t="s">
        <v>53</v>
      </c>
      <c r="E13" s="5">
        <v>2.4042010155E10</v>
      </c>
      <c r="F13" s="5" t="s">
        <v>21</v>
      </c>
      <c r="G13" s="5" t="s">
        <v>22</v>
      </c>
      <c r="H13" s="5">
        <v>6.281217226831E12</v>
      </c>
      <c r="I13" s="5">
        <v>6.0</v>
      </c>
      <c r="J13" s="5" t="s">
        <v>23</v>
      </c>
      <c r="K13" s="5">
        <v>5.0</v>
      </c>
      <c r="L13" s="5">
        <v>5.0</v>
      </c>
      <c r="M13" s="5" t="s">
        <v>24</v>
      </c>
      <c r="N13" s="5" t="s">
        <v>19</v>
      </c>
      <c r="O13" s="5" t="s">
        <v>26</v>
      </c>
      <c r="P13" s="5">
        <v>5.0</v>
      </c>
      <c r="Q13" s="5">
        <v>5.0</v>
      </c>
      <c r="R13" s="5">
        <v>3.0</v>
      </c>
      <c r="U13" s="8"/>
      <c r="V13" s="7"/>
    </row>
    <row r="14" ht="22.5" customHeight="1">
      <c r="A14" s="4">
        <v>45912.425151759264</v>
      </c>
      <c r="B14" s="5" t="s">
        <v>54</v>
      </c>
      <c r="C14" s="5" t="s">
        <v>19</v>
      </c>
      <c r="D14" s="5" t="s">
        <v>55</v>
      </c>
      <c r="E14" s="5">
        <v>2.5042010221E10</v>
      </c>
      <c r="F14" s="5" t="s">
        <v>21</v>
      </c>
      <c r="G14" s="5" t="s">
        <v>22</v>
      </c>
      <c r="H14" s="5">
        <v>6.287732543111E12</v>
      </c>
      <c r="I14" s="5">
        <v>4.0</v>
      </c>
      <c r="J14" s="5" t="s">
        <v>23</v>
      </c>
      <c r="K14" s="5">
        <v>4.0</v>
      </c>
      <c r="L14" s="5">
        <v>2.0</v>
      </c>
      <c r="M14" s="5" t="s">
        <v>24</v>
      </c>
      <c r="N14" s="5" t="s">
        <v>25</v>
      </c>
      <c r="O14" s="5" t="s">
        <v>29</v>
      </c>
      <c r="P14" s="5">
        <v>3.0</v>
      </c>
      <c r="Q14" s="5">
        <v>4.0</v>
      </c>
      <c r="R14" s="5">
        <v>2.0</v>
      </c>
      <c r="U14" s="9"/>
      <c r="V14" s="7"/>
    </row>
    <row r="15" ht="22.5" customHeight="1">
      <c r="A15" s="4">
        <v>45912.42577579861</v>
      </c>
      <c r="B15" s="5" t="s">
        <v>56</v>
      </c>
      <c r="C15" s="5" t="s">
        <v>19</v>
      </c>
      <c r="D15" s="5" t="s">
        <v>57</v>
      </c>
      <c r="E15" s="5">
        <v>2.4042010316E10</v>
      </c>
      <c r="F15" s="5" t="s">
        <v>21</v>
      </c>
      <c r="G15" s="5" t="s">
        <v>22</v>
      </c>
      <c r="H15" s="5">
        <v>6.281917513332E12</v>
      </c>
      <c r="I15" s="5">
        <v>7.0</v>
      </c>
      <c r="J15" s="5" t="s">
        <v>23</v>
      </c>
      <c r="K15" s="5">
        <v>4.0</v>
      </c>
      <c r="L15" s="5">
        <v>4.0</v>
      </c>
      <c r="M15" s="5" t="s">
        <v>24</v>
      </c>
      <c r="N15" s="5" t="s">
        <v>25</v>
      </c>
      <c r="O15" s="5" t="s">
        <v>29</v>
      </c>
      <c r="P15" s="5">
        <v>4.0</v>
      </c>
      <c r="Q15" s="5">
        <v>4.0</v>
      </c>
      <c r="R15" s="5">
        <v>1.0</v>
      </c>
      <c r="U15" s="8"/>
      <c r="V15" s="7"/>
    </row>
    <row r="16" ht="22.5" customHeight="1">
      <c r="A16" s="4">
        <v>45912.42580353009</v>
      </c>
      <c r="B16" s="5" t="s">
        <v>58</v>
      </c>
      <c r="C16" s="5" t="s">
        <v>19</v>
      </c>
      <c r="D16" s="5" t="s">
        <v>59</v>
      </c>
      <c r="E16" s="5">
        <v>2.404201015E10</v>
      </c>
      <c r="F16" s="5" t="s">
        <v>21</v>
      </c>
      <c r="G16" s="5" t="s">
        <v>22</v>
      </c>
      <c r="H16" s="5">
        <v>6.285932168653E12</v>
      </c>
      <c r="I16" s="5">
        <v>5.0</v>
      </c>
      <c r="J16" s="5" t="s">
        <v>23</v>
      </c>
      <c r="K16" s="5">
        <v>4.0</v>
      </c>
      <c r="L16" s="5">
        <v>4.0</v>
      </c>
      <c r="M16" s="5" t="s">
        <v>24</v>
      </c>
      <c r="N16" s="5" t="s">
        <v>25</v>
      </c>
      <c r="O16" s="5" t="s">
        <v>35</v>
      </c>
      <c r="P16" s="5">
        <v>3.0</v>
      </c>
      <c r="Q16" s="5">
        <v>3.0</v>
      </c>
      <c r="R16" s="5">
        <v>1.0</v>
      </c>
      <c r="U16" s="9"/>
      <c r="V16" s="7"/>
    </row>
    <row r="17" ht="22.5" customHeight="1">
      <c r="A17" s="4">
        <v>45912.42609300926</v>
      </c>
      <c r="B17" s="5" t="s">
        <v>60</v>
      </c>
      <c r="C17" s="5" t="s">
        <v>19</v>
      </c>
      <c r="D17" s="5" t="s">
        <v>61</v>
      </c>
      <c r="E17" s="5">
        <v>2.404201031E10</v>
      </c>
      <c r="F17" s="5" t="s">
        <v>21</v>
      </c>
      <c r="G17" s="5" t="s">
        <v>22</v>
      </c>
      <c r="H17" s="5">
        <v>6.285784693253E12</v>
      </c>
      <c r="I17" s="5">
        <v>6.0</v>
      </c>
      <c r="J17" s="5" t="s">
        <v>23</v>
      </c>
      <c r="K17" s="5">
        <v>6.0</v>
      </c>
      <c r="L17" s="5">
        <v>3.0</v>
      </c>
      <c r="M17" s="5" t="s">
        <v>24</v>
      </c>
      <c r="N17" s="5" t="s">
        <v>25</v>
      </c>
      <c r="O17" s="5" t="s">
        <v>26</v>
      </c>
      <c r="P17" s="5">
        <v>3.0</v>
      </c>
      <c r="Q17" s="5">
        <v>5.0</v>
      </c>
      <c r="R17" s="5">
        <v>1.0</v>
      </c>
      <c r="U17" s="9"/>
      <c r="V17" s="7"/>
    </row>
    <row r="18" ht="22.5" customHeight="1">
      <c r="A18" s="4">
        <v>45912.4261062963</v>
      </c>
      <c r="B18" s="5" t="s">
        <v>62</v>
      </c>
      <c r="C18" s="5" t="s">
        <v>19</v>
      </c>
      <c r="D18" s="5" t="s">
        <v>63</v>
      </c>
      <c r="E18" s="5">
        <v>2.5042010329E10</v>
      </c>
      <c r="F18" s="5" t="s">
        <v>21</v>
      </c>
      <c r="G18" s="5" t="s">
        <v>22</v>
      </c>
      <c r="H18" s="5">
        <v>6.285733585712E12</v>
      </c>
      <c r="I18" s="5">
        <v>3.0</v>
      </c>
      <c r="J18" s="5" t="s">
        <v>23</v>
      </c>
      <c r="K18" s="5">
        <v>4.0</v>
      </c>
      <c r="L18" s="5">
        <v>4.0</v>
      </c>
      <c r="M18" s="5" t="s">
        <v>64</v>
      </c>
      <c r="N18" s="5" t="s">
        <v>25</v>
      </c>
      <c r="O18" s="5" t="s">
        <v>26</v>
      </c>
      <c r="P18" s="5">
        <v>3.0</v>
      </c>
      <c r="Q18" s="5">
        <v>5.0</v>
      </c>
      <c r="R18" s="5">
        <v>1.0</v>
      </c>
      <c r="U18" s="9"/>
      <c r="V18" s="7"/>
    </row>
    <row r="19" ht="22.5" customHeight="1">
      <c r="A19" s="4">
        <v>45912.42620393519</v>
      </c>
      <c r="B19" s="5" t="s">
        <v>65</v>
      </c>
      <c r="C19" s="5" t="s">
        <v>19</v>
      </c>
      <c r="D19" s="5" t="s">
        <v>66</v>
      </c>
      <c r="E19" s="5">
        <v>2.5042010336E10</v>
      </c>
      <c r="F19" s="5" t="s">
        <v>21</v>
      </c>
      <c r="G19" s="5" t="s">
        <v>22</v>
      </c>
      <c r="H19" s="5">
        <v>6.28560669654E12</v>
      </c>
      <c r="I19" s="5">
        <v>3.0</v>
      </c>
      <c r="J19" s="5" t="s">
        <v>23</v>
      </c>
      <c r="K19" s="5">
        <v>4.0</v>
      </c>
      <c r="L19" s="5">
        <v>4.0</v>
      </c>
      <c r="M19" s="5" t="s">
        <v>64</v>
      </c>
      <c r="N19" s="5" t="s">
        <v>25</v>
      </c>
      <c r="O19" s="5" t="s">
        <v>29</v>
      </c>
      <c r="P19" s="5">
        <v>3.0</v>
      </c>
      <c r="Q19" s="5">
        <v>5.0</v>
      </c>
      <c r="R19" s="5">
        <v>1.0</v>
      </c>
      <c r="U19" s="9"/>
      <c r="V19" s="7"/>
    </row>
    <row r="20" ht="22.5" customHeight="1">
      <c r="A20" s="4">
        <v>45912.427003854165</v>
      </c>
      <c r="B20" s="5" t="s">
        <v>67</v>
      </c>
      <c r="C20" s="5" t="s">
        <v>19</v>
      </c>
      <c r="D20" s="5" t="s">
        <v>68</v>
      </c>
      <c r="E20" s="5">
        <v>2.4042010163E10</v>
      </c>
      <c r="F20" s="5" t="s">
        <v>21</v>
      </c>
      <c r="G20" s="5" t="s">
        <v>22</v>
      </c>
      <c r="H20" s="5">
        <v>6.28999763366E11</v>
      </c>
      <c r="I20" s="5">
        <v>11.0</v>
      </c>
      <c r="J20" s="5" t="s">
        <v>23</v>
      </c>
      <c r="K20" s="5">
        <v>5.0</v>
      </c>
      <c r="L20" s="5">
        <v>5.0</v>
      </c>
      <c r="M20" s="5" t="s">
        <v>64</v>
      </c>
      <c r="N20" s="5" t="s">
        <v>25</v>
      </c>
      <c r="O20" s="5" t="s">
        <v>26</v>
      </c>
      <c r="P20" s="5">
        <v>4.0</v>
      </c>
      <c r="Q20" s="5">
        <v>5.0</v>
      </c>
      <c r="R20" s="5">
        <v>4.0</v>
      </c>
      <c r="U20" s="8"/>
      <c r="V20" s="7"/>
    </row>
    <row r="21" ht="22.5" customHeight="1">
      <c r="A21" s="4">
        <v>45912.42710084491</v>
      </c>
      <c r="B21" s="5" t="s">
        <v>69</v>
      </c>
      <c r="C21" s="5" t="s">
        <v>19</v>
      </c>
      <c r="D21" s="5" t="s">
        <v>70</v>
      </c>
      <c r="E21" s="5">
        <v>2.4042010322E10</v>
      </c>
      <c r="F21" s="5" t="s">
        <v>21</v>
      </c>
      <c r="G21" s="5" t="s">
        <v>22</v>
      </c>
      <c r="H21" s="5">
        <v>6.283845737913E12</v>
      </c>
      <c r="I21" s="5">
        <v>3.0</v>
      </c>
      <c r="J21" s="5" t="s">
        <v>23</v>
      </c>
      <c r="K21" s="5">
        <v>5.0</v>
      </c>
      <c r="L21" s="5">
        <v>5.0</v>
      </c>
      <c r="M21" s="5" t="s">
        <v>49</v>
      </c>
      <c r="N21" s="5" t="s">
        <v>25</v>
      </c>
      <c r="O21" s="5" t="s">
        <v>35</v>
      </c>
      <c r="P21" s="5">
        <v>4.0</v>
      </c>
      <c r="Q21" s="5">
        <v>4.0</v>
      </c>
      <c r="R21" s="5">
        <v>2.0</v>
      </c>
      <c r="U21" s="8"/>
      <c r="V21" s="7"/>
    </row>
    <row r="22" ht="22.5" customHeight="1">
      <c r="A22" s="4">
        <v>45912.43379173611</v>
      </c>
      <c r="B22" s="5" t="s">
        <v>71</v>
      </c>
      <c r="C22" s="5" t="s">
        <v>19</v>
      </c>
      <c r="D22" s="5" t="s">
        <v>72</v>
      </c>
      <c r="E22" s="5">
        <v>2.5042010326E10</v>
      </c>
      <c r="F22" s="5" t="s">
        <v>21</v>
      </c>
      <c r="G22" s="5" t="s">
        <v>22</v>
      </c>
      <c r="H22" s="5">
        <v>6.2895333338999E13</v>
      </c>
      <c r="I22" s="5">
        <v>6.0</v>
      </c>
      <c r="J22" s="5" t="s">
        <v>34</v>
      </c>
      <c r="K22" s="5">
        <v>5.0</v>
      </c>
      <c r="L22" s="5">
        <v>4.0</v>
      </c>
      <c r="M22" s="5" t="s">
        <v>64</v>
      </c>
      <c r="N22" s="5" t="s">
        <v>25</v>
      </c>
      <c r="O22" s="5" t="s">
        <v>26</v>
      </c>
      <c r="P22" s="5">
        <v>3.0</v>
      </c>
      <c r="Q22" s="5">
        <v>3.0</v>
      </c>
      <c r="R22" s="5">
        <v>1.0</v>
      </c>
      <c r="U22" s="8"/>
      <c r="V22" s="7"/>
    </row>
    <row r="23" ht="22.5" customHeight="1">
      <c r="A23" s="4">
        <v>45912.4338969213</v>
      </c>
      <c r="B23" s="5" t="s">
        <v>73</v>
      </c>
      <c r="C23" s="5" t="s">
        <v>19</v>
      </c>
      <c r="D23" s="5" t="s">
        <v>74</v>
      </c>
      <c r="E23" s="5">
        <v>2.5042010274E10</v>
      </c>
      <c r="F23" s="5" t="s">
        <v>21</v>
      </c>
      <c r="G23" s="5" t="s">
        <v>22</v>
      </c>
      <c r="H23" s="5">
        <v>6.285933685411E12</v>
      </c>
      <c r="I23" s="5">
        <v>5.0</v>
      </c>
      <c r="J23" s="5" t="s">
        <v>23</v>
      </c>
      <c r="K23" s="5">
        <v>5.0</v>
      </c>
      <c r="L23" s="5">
        <v>5.0</v>
      </c>
      <c r="M23" s="5" t="s">
        <v>49</v>
      </c>
      <c r="N23" s="5" t="s">
        <v>25</v>
      </c>
      <c r="O23" s="5" t="s">
        <v>29</v>
      </c>
      <c r="P23" s="5">
        <v>4.0</v>
      </c>
      <c r="Q23" s="5">
        <v>4.0</v>
      </c>
      <c r="R23" s="5">
        <v>5.0</v>
      </c>
      <c r="U23" s="8"/>
      <c r="V23" s="7"/>
    </row>
    <row r="24" ht="22.5" customHeight="1">
      <c r="A24" s="4">
        <v>45912.43405236111</v>
      </c>
      <c r="B24" s="5" t="s">
        <v>75</v>
      </c>
      <c r="C24" s="5" t="s">
        <v>19</v>
      </c>
      <c r="D24" s="5" t="s">
        <v>76</v>
      </c>
      <c r="E24" s="5">
        <v>2.5042010093E10</v>
      </c>
      <c r="F24" s="5" t="s">
        <v>21</v>
      </c>
      <c r="G24" s="5" t="s">
        <v>22</v>
      </c>
      <c r="H24" s="5">
        <v>6.287785160344E12</v>
      </c>
      <c r="I24" s="5">
        <v>2.0</v>
      </c>
      <c r="J24" s="5" t="s">
        <v>34</v>
      </c>
      <c r="K24" s="5">
        <v>5.0</v>
      </c>
      <c r="L24" s="5">
        <v>5.0</v>
      </c>
      <c r="M24" s="5" t="s">
        <v>49</v>
      </c>
      <c r="N24" s="5" t="s">
        <v>19</v>
      </c>
      <c r="O24" s="5" t="s">
        <v>26</v>
      </c>
      <c r="P24" s="5">
        <v>5.0</v>
      </c>
      <c r="Q24" s="5">
        <v>5.0</v>
      </c>
      <c r="R24" s="5">
        <v>3.0</v>
      </c>
      <c r="U24" s="8"/>
      <c r="V24" s="7"/>
    </row>
    <row r="25" ht="22.5" customHeight="1">
      <c r="A25" s="4">
        <v>45912.43422618056</v>
      </c>
      <c r="B25" s="5" t="s">
        <v>77</v>
      </c>
      <c r="C25" s="5" t="s">
        <v>19</v>
      </c>
      <c r="D25" s="5" t="s">
        <v>78</v>
      </c>
      <c r="E25" s="5">
        <v>2.5042010027E10</v>
      </c>
      <c r="F25" s="5" t="s">
        <v>21</v>
      </c>
      <c r="G25" s="5" t="s">
        <v>22</v>
      </c>
      <c r="H25" s="5">
        <v>6.2882009850652E13</v>
      </c>
      <c r="I25" s="5">
        <v>6.0</v>
      </c>
      <c r="J25" s="5" t="s">
        <v>34</v>
      </c>
      <c r="K25" s="5">
        <v>5.0</v>
      </c>
      <c r="L25" s="5">
        <v>5.0</v>
      </c>
      <c r="M25" s="5" t="s">
        <v>64</v>
      </c>
      <c r="N25" s="5" t="s">
        <v>25</v>
      </c>
      <c r="O25" s="5" t="s">
        <v>26</v>
      </c>
      <c r="P25" s="5">
        <v>5.0</v>
      </c>
      <c r="Q25" s="5">
        <v>5.0</v>
      </c>
      <c r="R25" s="5">
        <v>4.0</v>
      </c>
      <c r="U25" s="8"/>
      <c r="V25" s="7"/>
    </row>
    <row r="26" ht="22.5" customHeight="1">
      <c r="A26" s="4">
        <v>45912.43469548611</v>
      </c>
      <c r="B26" s="5" t="s">
        <v>79</v>
      </c>
      <c r="C26" s="5" t="s">
        <v>19</v>
      </c>
      <c r="D26" s="5" t="s">
        <v>80</v>
      </c>
      <c r="E26" s="5">
        <v>2.504201016E10</v>
      </c>
      <c r="F26" s="5" t="s">
        <v>21</v>
      </c>
      <c r="G26" s="5" t="s">
        <v>22</v>
      </c>
      <c r="H26" s="5">
        <v>6.282327335824E12</v>
      </c>
      <c r="I26" s="5">
        <v>4.0</v>
      </c>
      <c r="J26" s="5" t="s">
        <v>23</v>
      </c>
      <c r="K26" s="5">
        <v>1.0</v>
      </c>
      <c r="L26" s="5">
        <v>1.0</v>
      </c>
      <c r="M26" s="5" t="s">
        <v>24</v>
      </c>
      <c r="N26" s="5" t="s">
        <v>25</v>
      </c>
      <c r="O26" s="5" t="s">
        <v>26</v>
      </c>
      <c r="P26" s="5">
        <v>5.0</v>
      </c>
      <c r="Q26" s="5">
        <v>5.0</v>
      </c>
      <c r="R26" s="5">
        <v>4.0</v>
      </c>
      <c r="U26" s="8"/>
      <c r="V26" s="7"/>
    </row>
    <row r="27" ht="22.5" customHeight="1">
      <c r="A27" s="4">
        <v>45912.43490232639</v>
      </c>
      <c r="B27" s="5" t="s">
        <v>81</v>
      </c>
      <c r="C27" s="5" t="s">
        <v>19</v>
      </c>
      <c r="D27" s="5" t="s">
        <v>82</v>
      </c>
      <c r="E27" s="5">
        <v>2.5042010015E10</v>
      </c>
      <c r="F27" s="5" t="s">
        <v>21</v>
      </c>
      <c r="G27" s="5" t="s">
        <v>22</v>
      </c>
      <c r="H27" s="5">
        <v>6.282146463144E12</v>
      </c>
      <c r="I27" s="5">
        <v>5.0</v>
      </c>
      <c r="J27" s="5" t="s">
        <v>34</v>
      </c>
      <c r="K27" s="5">
        <v>5.0</v>
      </c>
      <c r="L27" s="5">
        <v>4.0</v>
      </c>
      <c r="M27" s="5" t="s">
        <v>64</v>
      </c>
      <c r="N27" s="5" t="s">
        <v>25</v>
      </c>
      <c r="O27" s="5" t="s">
        <v>29</v>
      </c>
      <c r="P27" s="5">
        <v>2.0</v>
      </c>
      <c r="Q27" s="5">
        <v>2.0</v>
      </c>
      <c r="R27" s="5">
        <v>3.0</v>
      </c>
      <c r="U27" s="8"/>
      <c r="V27" s="7"/>
    </row>
    <row r="28" ht="22.5" customHeight="1">
      <c r="A28" s="4">
        <v>45910.4201133912</v>
      </c>
      <c r="B28" s="5" t="s">
        <v>83</v>
      </c>
      <c r="C28" s="5" t="s">
        <v>19</v>
      </c>
      <c r="D28" s="5" t="s">
        <v>84</v>
      </c>
      <c r="E28" s="5">
        <v>2.4041010163E10</v>
      </c>
      <c r="F28" s="5" t="s">
        <v>21</v>
      </c>
      <c r="G28" s="5" t="s">
        <v>85</v>
      </c>
      <c r="H28" s="5">
        <v>6.281354298141E12</v>
      </c>
      <c r="I28" s="6">
        <v>7.0</v>
      </c>
      <c r="J28" s="5" t="s">
        <v>34</v>
      </c>
      <c r="K28" s="6">
        <v>7.0</v>
      </c>
      <c r="L28" s="6">
        <v>7.0</v>
      </c>
      <c r="M28" s="5" t="s">
        <v>24</v>
      </c>
      <c r="N28" s="5" t="s">
        <v>25</v>
      </c>
      <c r="O28" s="5" t="s">
        <v>29</v>
      </c>
      <c r="P28" s="6">
        <v>5.0</v>
      </c>
      <c r="Q28" s="6">
        <v>5.0</v>
      </c>
      <c r="R28" s="6">
        <v>12.0</v>
      </c>
      <c r="U28" s="8"/>
      <c r="V28" s="7"/>
    </row>
    <row r="29" ht="22.5" customHeight="1">
      <c r="A29" s="4">
        <v>45910.42103842593</v>
      </c>
      <c r="B29" s="5" t="s">
        <v>86</v>
      </c>
      <c r="C29" s="5" t="s">
        <v>19</v>
      </c>
      <c r="D29" s="5" t="s">
        <v>87</v>
      </c>
      <c r="E29" s="5">
        <v>2.4041010101E10</v>
      </c>
      <c r="F29" s="5" t="s">
        <v>21</v>
      </c>
      <c r="G29" s="5" t="s">
        <v>85</v>
      </c>
      <c r="H29" s="5">
        <v>6.285735919465E12</v>
      </c>
      <c r="I29" s="6">
        <v>3.0</v>
      </c>
      <c r="J29" s="5" t="s">
        <v>23</v>
      </c>
      <c r="K29" s="6">
        <v>6.0</v>
      </c>
      <c r="L29" s="6">
        <v>2.0</v>
      </c>
      <c r="M29" s="5" t="s">
        <v>46</v>
      </c>
      <c r="N29" s="5" t="s">
        <v>25</v>
      </c>
      <c r="O29" s="5" t="s">
        <v>26</v>
      </c>
      <c r="P29" s="6">
        <v>4.0</v>
      </c>
      <c r="Q29" s="6">
        <v>4.0</v>
      </c>
      <c r="R29" s="6">
        <v>8.0</v>
      </c>
      <c r="U29" s="8"/>
      <c r="V29" s="7"/>
    </row>
    <row r="30" ht="22.5" customHeight="1">
      <c r="A30" s="4">
        <v>45910.42107166667</v>
      </c>
      <c r="B30" s="5" t="s">
        <v>88</v>
      </c>
      <c r="C30" s="5" t="s">
        <v>19</v>
      </c>
      <c r="D30" s="5" t="s">
        <v>89</v>
      </c>
      <c r="E30" s="5">
        <v>2.4041010061E10</v>
      </c>
      <c r="F30" s="5" t="s">
        <v>21</v>
      </c>
      <c r="G30" s="5" t="s">
        <v>85</v>
      </c>
      <c r="H30" s="5">
        <v>6.281554194264E12</v>
      </c>
      <c r="I30" s="6">
        <v>3.0</v>
      </c>
      <c r="J30" s="5" t="s">
        <v>23</v>
      </c>
      <c r="K30" s="6">
        <v>7.0</v>
      </c>
      <c r="L30" s="6">
        <v>3.0</v>
      </c>
      <c r="M30" s="5" t="s">
        <v>24</v>
      </c>
      <c r="N30" s="5" t="s">
        <v>25</v>
      </c>
      <c r="O30" s="5" t="s">
        <v>26</v>
      </c>
      <c r="P30" s="6">
        <v>4.0</v>
      </c>
      <c r="Q30" s="6">
        <v>4.0</v>
      </c>
      <c r="R30" s="6">
        <v>6.0</v>
      </c>
      <c r="U30" s="8"/>
      <c r="V30" s="7"/>
    </row>
    <row r="31" ht="22.5" customHeight="1">
      <c r="A31" s="4">
        <v>45912.40948070602</v>
      </c>
      <c r="B31" s="5" t="s">
        <v>90</v>
      </c>
      <c r="C31" s="5" t="s">
        <v>19</v>
      </c>
      <c r="D31" s="5" t="s">
        <v>91</v>
      </c>
      <c r="E31" s="5">
        <v>2.5041010166E10</v>
      </c>
      <c r="F31" s="5" t="s">
        <v>21</v>
      </c>
      <c r="G31" s="5" t="s">
        <v>85</v>
      </c>
      <c r="H31" s="5">
        <v>6.282132881116E12</v>
      </c>
      <c r="I31" s="5">
        <v>4.0</v>
      </c>
      <c r="J31" s="5" t="s">
        <v>23</v>
      </c>
      <c r="K31" s="5">
        <v>5.0</v>
      </c>
      <c r="L31" s="5">
        <v>2.0</v>
      </c>
      <c r="M31" s="5" t="s">
        <v>24</v>
      </c>
      <c r="N31" s="5" t="s">
        <v>25</v>
      </c>
      <c r="O31" s="5" t="s">
        <v>29</v>
      </c>
      <c r="P31" s="5">
        <v>5.0</v>
      </c>
      <c r="Q31" s="5">
        <v>5.0</v>
      </c>
      <c r="R31" s="5">
        <v>1.0</v>
      </c>
      <c r="U31" s="8"/>
      <c r="V31" s="7"/>
    </row>
    <row r="32" ht="22.5" customHeight="1">
      <c r="A32" s="4">
        <v>45912.4100172801</v>
      </c>
      <c r="B32" s="5" t="s">
        <v>92</v>
      </c>
      <c r="C32" s="5" t="s">
        <v>19</v>
      </c>
      <c r="D32" s="5" t="s">
        <v>93</v>
      </c>
      <c r="E32" s="5">
        <v>2.5041010167E10</v>
      </c>
      <c r="F32" s="5" t="s">
        <v>21</v>
      </c>
      <c r="G32" s="5" t="s">
        <v>85</v>
      </c>
      <c r="H32" s="5">
        <v>6.285755458749E12</v>
      </c>
      <c r="I32" s="5">
        <v>5.0</v>
      </c>
      <c r="J32" s="5" t="s">
        <v>23</v>
      </c>
      <c r="K32" s="5">
        <v>4.0</v>
      </c>
      <c r="L32" s="5">
        <v>4.0</v>
      </c>
      <c r="M32" s="5" t="s">
        <v>24</v>
      </c>
      <c r="N32" s="5" t="s">
        <v>25</v>
      </c>
      <c r="O32" s="5" t="s">
        <v>35</v>
      </c>
      <c r="P32" s="5">
        <v>4.0</v>
      </c>
      <c r="Q32" s="5">
        <v>4.0</v>
      </c>
      <c r="R32" s="5">
        <v>2.0</v>
      </c>
      <c r="U32" s="8"/>
      <c r="V32" s="7"/>
    </row>
    <row r="33" ht="22.5" customHeight="1">
      <c r="A33" s="4">
        <v>45912.4372768287</v>
      </c>
      <c r="B33" s="5" t="s">
        <v>94</v>
      </c>
      <c r="C33" s="5" t="s">
        <v>19</v>
      </c>
      <c r="D33" s="5" t="s">
        <v>95</v>
      </c>
      <c r="E33" s="5">
        <v>2.5041010291E10</v>
      </c>
      <c r="F33" s="5" t="s">
        <v>21</v>
      </c>
      <c r="G33" s="5" t="s">
        <v>85</v>
      </c>
      <c r="H33" s="5">
        <v>6.283121039108E12</v>
      </c>
      <c r="I33" s="5">
        <v>6.0</v>
      </c>
      <c r="J33" s="5" t="s">
        <v>96</v>
      </c>
      <c r="K33" s="5">
        <v>1.0</v>
      </c>
      <c r="L33" s="5">
        <v>1.0</v>
      </c>
      <c r="M33" s="5" t="s">
        <v>46</v>
      </c>
      <c r="N33" s="5" t="s">
        <v>25</v>
      </c>
      <c r="O33" s="5" t="s">
        <v>26</v>
      </c>
      <c r="P33" s="5">
        <v>5.0</v>
      </c>
      <c r="Q33" s="5">
        <v>5.0</v>
      </c>
      <c r="R33" s="5">
        <v>2.0</v>
      </c>
      <c r="U33" s="8"/>
      <c r="V33" s="7"/>
    </row>
    <row r="34" ht="22.5" customHeight="1">
      <c r="A34" s="4">
        <v>45912.4387128125</v>
      </c>
      <c r="B34" s="5" t="s">
        <v>97</v>
      </c>
      <c r="C34" s="5" t="s">
        <v>19</v>
      </c>
      <c r="D34" s="5" t="s">
        <v>98</v>
      </c>
      <c r="E34" s="5">
        <v>2.5041010271E10</v>
      </c>
      <c r="F34" s="5" t="s">
        <v>21</v>
      </c>
      <c r="G34" s="5" t="s">
        <v>85</v>
      </c>
      <c r="H34" s="5">
        <v>6.281333508417E12</v>
      </c>
      <c r="I34" s="5">
        <v>7.0</v>
      </c>
      <c r="J34" s="5" t="s">
        <v>23</v>
      </c>
      <c r="K34" s="5">
        <v>3.0</v>
      </c>
      <c r="L34" s="5">
        <v>2.0</v>
      </c>
      <c r="M34" s="5" t="s">
        <v>49</v>
      </c>
      <c r="N34" s="5" t="s">
        <v>25</v>
      </c>
      <c r="O34" s="5" t="s">
        <v>29</v>
      </c>
      <c r="P34" s="5">
        <v>1.0</v>
      </c>
      <c r="Q34" s="5">
        <v>1.0</v>
      </c>
      <c r="R34" s="5">
        <v>2.0</v>
      </c>
      <c r="U34" s="8"/>
      <c r="V34" s="7"/>
    </row>
    <row r="35" ht="22.5" customHeight="1">
      <c r="A35" s="4">
        <v>45911.4732338426</v>
      </c>
      <c r="B35" s="5" t="s">
        <v>99</v>
      </c>
      <c r="C35" s="5" t="s">
        <v>19</v>
      </c>
      <c r="D35" s="5" t="s">
        <v>100</v>
      </c>
      <c r="E35" s="5">
        <v>2.5025010134E10</v>
      </c>
      <c r="F35" s="5" t="s">
        <v>101</v>
      </c>
      <c r="G35" s="5" t="s">
        <v>102</v>
      </c>
      <c r="H35" s="5">
        <v>6.285777050152E12</v>
      </c>
      <c r="I35" s="5">
        <v>1.0</v>
      </c>
      <c r="J35" s="5" t="s">
        <v>23</v>
      </c>
      <c r="K35" s="5">
        <v>2.0</v>
      </c>
      <c r="L35" s="5">
        <v>1.0</v>
      </c>
      <c r="M35" s="5" t="s">
        <v>64</v>
      </c>
      <c r="N35" s="5" t="s">
        <v>25</v>
      </c>
      <c r="O35" s="5" t="s">
        <v>35</v>
      </c>
      <c r="P35" s="5">
        <v>4.0</v>
      </c>
      <c r="Q35" s="5">
        <v>4.0</v>
      </c>
      <c r="R35" s="5">
        <v>1.0</v>
      </c>
      <c r="U35" s="8"/>
      <c r="V35" s="7"/>
    </row>
    <row r="36" ht="22.5" customHeight="1">
      <c r="A36" s="4">
        <v>45911.30747353009</v>
      </c>
      <c r="B36" s="5" t="s">
        <v>103</v>
      </c>
      <c r="C36" s="5" t="s">
        <v>19</v>
      </c>
      <c r="D36" s="5" t="s">
        <v>104</v>
      </c>
      <c r="E36" s="5">
        <v>2.4013010342E10</v>
      </c>
      <c r="F36" s="5" t="s">
        <v>105</v>
      </c>
      <c r="G36" s="5" t="s">
        <v>106</v>
      </c>
      <c r="H36" s="5">
        <v>6.2811330006E10</v>
      </c>
      <c r="I36" s="5">
        <v>3.0</v>
      </c>
      <c r="J36" s="5" t="s">
        <v>23</v>
      </c>
      <c r="K36" s="5">
        <v>7.0</v>
      </c>
      <c r="L36" s="5">
        <v>3.0</v>
      </c>
      <c r="M36" s="5" t="s">
        <v>24</v>
      </c>
      <c r="N36" s="5" t="s">
        <v>25</v>
      </c>
      <c r="O36" s="5" t="s">
        <v>29</v>
      </c>
      <c r="P36" s="5">
        <v>4.0</v>
      </c>
      <c r="Q36" s="5">
        <v>4.0</v>
      </c>
      <c r="R36" s="5">
        <v>3.0</v>
      </c>
      <c r="U36" s="8"/>
      <c r="V36" s="7"/>
    </row>
    <row r="37" ht="22.5" customHeight="1">
      <c r="A37" s="4">
        <v>45911.30764899305</v>
      </c>
      <c r="B37" s="5" t="s">
        <v>107</v>
      </c>
      <c r="C37" s="5" t="s">
        <v>19</v>
      </c>
      <c r="D37" s="5" t="s">
        <v>108</v>
      </c>
      <c r="E37" s="5">
        <v>2.4013010378E10</v>
      </c>
      <c r="F37" s="5" t="s">
        <v>105</v>
      </c>
      <c r="G37" s="5" t="s">
        <v>106</v>
      </c>
      <c r="H37" s="5">
        <v>6.285941356456E12</v>
      </c>
      <c r="I37" s="5">
        <v>3.0</v>
      </c>
      <c r="J37" s="5" t="s">
        <v>34</v>
      </c>
      <c r="K37" s="5">
        <v>7.0</v>
      </c>
      <c r="L37" s="5">
        <v>3.0</v>
      </c>
      <c r="M37" s="5" t="s">
        <v>24</v>
      </c>
      <c r="N37" s="5" t="s">
        <v>25</v>
      </c>
      <c r="O37" s="5" t="s">
        <v>29</v>
      </c>
      <c r="P37" s="5">
        <v>3.0</v>
      </c>
      <c r="Q37" s="5">
        <v>4.0</v>
      </c>
      <c r="R37" s="5">
        <v>4.0</v>
      </c>
      <c r="U37" s="8"/>
      <c r="V37" s="7"/>
    </row>
    <row r="38" ht="22.5" customHeight="1">
      <c r="A38" s="4">
        <v>45911.307963287036</v>
      </c>
      <c r="B38" s="5" t="s">
        <v>109</v>
      </c>
      <c r="C38" s="5" t="s">
        <v>19</v>
      </c>
      <c r="D38" s="5" t="s">
        <v>110</v>
      </c>
      <c r="E38" s="5">
        <v>2.4013010251E10</v>
      </c>
      <c r="F38" s="5" t="s">
        <v>105</v>
      </c>
      <c r="G38" s="5" t="s">
        <v>106</v>
      </c>
      <c r="H38" s="5">
        <v>6.289513772105E12</v>
      </c>
      <c r="I38" s="5">
        <v>5.0</v>
      </c>
      <c r="J38" s="5" t="s">
        <v>34</v>
      </c>
      <c r="K38" s="5">
        <v>4.0</v>
      </c>
      <c r="L38" s="5">
        <v>4.0</v>
      </c>
      <c r="M38" s="5" t="s">
        <v>24</v>
      </c>
      <c r="N38" s="5" t="s">
        <v>25</v>
      </c>
      <c r="O38" s="5" t="s">
        <v>29</v>
      </c>
      <c r="P38" s="5">
        <v>5.0</v>
      </c>
      <c r="Q38" s="5">
        <v>5.0</v>
      </c>
      <c r="R38" s="5">
        <v>3.0</v>
      </c>
      <c r="U38" s="8"/>
      <c r="V38" s="7"/>
    </row>
    <row r="39" ht="22.5" customHeight="1">
      <c r="A39" s="4">
        <v>45911.30900488426</v>
      </c>
      <c r="B39" s="5" t="s">
        <v>111</v>
      </c>
      <c r="C39" s="5" t="s">
        <v>19</v>
      </c>
      <c r="D39" s="5" t="s">
        <v>112</v>
      </c>
      <c r="E39" s="5">
        <v>2.4013010302E10</v>
      </c>
      <c r="F39" s="5" t="s">
        <v>105</v>
      </c>
      <c r="G39" s="5" t="s">
        <v>106</v>
      </c>
      <c r="H39" s="5">
        <v>6.281357644365E12</v>
      </c>
      <c r="I39" s="5">
        <v>8.0</v>
      </c>
      <c r="J39" s="5" t="s">
        <v>34</v>
      </c>
      <c r="K39" s="5">
        <v>6.0</v>
      </c>
      <c r="L39" s="5">
        <v>7.0</v>
      </c>
      <c r="M39" s="5" t="s">
        <v>24</v>
      </c>
      <c r="N39" s="5" t="s">
        <v>25</v>
      </c>
      <c r="O39" s="5" t="s">
        <v>29</v>
      </c>
      <c r="P39" s="5">
        <v>4.0</v>
      </c>
      <c r="Q39" s="5">
        <v>4.0</v>
      </c>
      <c r="R39" s="5">
        <v>3.0</v>
      </c>
      <c r="U39" s="8"/>
      <c r="V39" s="7"/>
    </row>
    <row r="40" ht="22.5" customHeight="1">
      <c r="A40" s="4">
        <v>45911.30929773148</v>
      </c>
      <c r="B40" s="5" t="s">
        <v>113</v>
      </c>
      <c r="C40" s="5" t="s">
        <v>19</v>
      </c>
      <c r="D40" s="5" t="s">
        <v>114</v>
      </c>
      <c r="E40" s="5">
        <v>2.4013010257E10</v>
      </c>
      <c r="F40" s="5" t="s">
        <v>105</v>
      </c>
      <c r="G40" s="5" t="s">
        <v>106</v>
      </c>
      <c r="H40" s="5">
        <v>6.28968718493E12</v>
      </c>
      <c r="I40" s="5">
        <v>6.0</v>
      </c>
      <c r="J40" s="5" t="s">
        <v>23</v>
      </c>
      <c r="K40" s="5">
        <v>4.0</v>
      </c>
      <c r="L40" s="5">
        <v>2.0</v>
      </c>
      <c r="M40" s="5" t="s">
        <v>24</v>
      </c>
      <c r="N40" s="5" t="s">
        <v>25</v>
      </c>
      <c r="O40" s="5" t="s">
        <v>26</v>
      </c>
      <c r="P40" s="5">
        <v>3.0</v>
      </c>
      <c r="Q40" s="5">
        <v>3.0</v>
      </c>
      <c r="R40" s="5">
        <v>2.0</v>
      </c>
      <c r="U40" s="8"/>
      <c r="V40" s="7"/>
    </row>
    <row r="41" ht="22.5" customHeight="1">
      <c r="A41" s="4">
        <v>45911.30930519676</v>
      </c>
      <c r="B41" s="5" t="s">
        <v>115</v>
      </c>
      <c r="C41" s="5" t="s">
        <v>19</v>
      </c>
      <c r="D41" s="5" t="s">
        <v>116</v>
      </c>
      <c r="E41" s="5">
        <v>2.4013010122E10</v>
      </c>
      <c r="F41" s="5" t="s">
        <v>105</v>
      </c>
      <c r="G41" s="5" t="s">
        <v>106</v>
      </c>
      <c r="H41" s="5">
        <v>6.288231281876E12</v>
      </c>
      <c r="I41" s="5">
        <v>6.0</v>
      </c>
      <c r="J41" s="5" t="s">
        <v>23</v>
      </c>
      <c r="K41" s="5">
        <v>1.0</v>
      </c>
      <c r="L41" s="5">
        <v>2.0</v>
      </c>
      <c r="M41" s="5" t="s">
        <v>24</v>
      </c>
      <c r="N41" s="5" t="s">
        <v>25</v>
      </c>
      <c r="O41" s="5" t="s">
        <v>26</v>
      </c>
      <c r="P41" s="5">
        <v>4.0</v>
      </c>
      <c r="Q41" s="5">
        <v>2.0</v>
      </c>
      <c r="R41" s="5">
        <v>1.0</v>
      </c>
      <c r="U41" s="8"/>
      <c r="V41" s="7"/>
    </row>
    <row r="42" ht="22.5" customHeight="1">
      <c r="A42" s="4">
        <v>45911.30946590278</v>
      </c>
      <c r="B42" s="5" t="s">
        <v>117</v>
      </c>
      <c r="C42" s="5" t="s">
        <v>19</v>
      </c>
      <c r="D42" s="5" t="s">
        <v>118</v>
      </c>
      <c r="E42" s="5">
        <v>2.4013010169E10</v>
      </c>
      <c r="F42" s="5" t="s">
        <v>105</v>
      </c>
      <c r="G42" s="5" t="s">
        <v>106</v>
      </c>
      <c r="H42" s="5">
        <v>6.282137203155E12</v>
      </c>
      <c r="I42" s="5">
        <v>4.0</v>
      </c>
      <c r="J42" s="5" t="s">
        <v>34</v>
      </c>
      <c r="K42" s="5">
        <v>4.0</v>
      </c>
      <c r="L42" s="5">
        <v>4.0</v>
      </c>
      <c r="M42" s="5" t="s">
        <v>24</v>
      </c>
      <c r="N42" s="5" t="s">
        <v>25</v>
      </c>
      <c r="O42" s="5" t="s">
        <v>26</v>
      </c>
      <c r="P42" s="5">
        <v>5.0</v>
      </c>
      <c r="Q42" s="5">
        <v>5.0</v>
      </c>
      <c r="R42" s="5">
        <v>1.0</v>
      </c>
      <c r="U42" s="8"/>
      <c r="V42" s="7"/>
    </row>
    <row r="43" ht="22.5" customHeight="1">
      <c r="A43" s="4">
        <v>45911.30950347222</v>
      </c>
      <c r="B43" s="5" t="s">
        <v>119</v>
      </c>
      <c r="C43" s="5" t="s">
        <v>19</v>
      </c>
      <c r="D43" s="5" t="s">
        <v>120</v>
      </c>
      <c r="E43" s="5">
        <v>2.4013010194E10</v>
      </c>
      <c r="F43" s="5" t="s">
        <v>105</v>
      </c>
      <c r="G43" s="5" t="s">
        <v>106</v>
      </c>
      <c r="H43" s="5">
        <v>6.28570413148E12</v>
      </c>
      <c r="I43" s="5">
        <v>5.0</v>
      </c>
      <c r="J43" s="5" t="s">
        <v>23</v>
      </c>
      <c r="K43" s="5">
        <v>4.0</v>
      </c>
      <c r="L43" s="5">
        <v>1.0</v>
      </c>
      <c r="M43" s="5" t="s">
        <v>24</v>
      </c>
      <c r="N43" s="5" t="s">
        <v>25</v>
      </c>
      <c r="O43" s="5" t="s">
        <v>26</v>
      </c>
      <c r="P43" s="5">
        <v>4.0</v>
      </c>
      <c r="Q43" s="5">
        <v>5.0</v>
      </c>
      <c r="R43" s="5">
        <v>3.0</v>
      </c>
      <c r="U43" s="8"/>
      <c r="V43" s="7"/>
    </row>
    <row r="44" ht="22.5" customHeight="1">
      <c r="A44" s="4">
        <v>45911.30970509259</v>
      </c>
      <c r="B44" s="5" t="s">
        <v>121</v>
      </c>
      <c r="C44" s="5" t="s">
        <v>19</v>
      </c>
      <c r="D44" s="5" t="s">
        <v>122</v>
      </c>
      <c r="E44" s="5">
        <v>2.4013010187E10</v>
      </c>
      <c r="F44" s="5" t="s">
        <v>105</v>
      </c>
      <c r="G44" s="5" t="s">
        <v>106</v>
      </c>
      <c r="H44" s="5">
        <v>6.288235929703E12</v>
      </c>
      <c r="I44" s="5">
        <v>6.0</v>
      </c>
      <c r="J44" s="5" t="s">
        <v>34</v>
      </c>
      <c r="K44" s="5">
        <v>4.0</v>
      </c>
      <c r="L44" s="5">
        <v>4.0</v>
      </c>
      <c r="M44" s="5" t="s">
        <v>24</v>
      </c>
      <c r="N44" s="5" t="s">
        <v>25</v>
      </c>
      <c r="O44" s="5" t="s">
        <v>26</v>
      </c>
      <c r="P44" s="5">
        <v>5.0</v>
      </c>
      <c r="Q44" s="5">
        <v>5.0</v>
      </c>
      <c r="R44" s="5">
        <v>3.0</v>
      </c>
      <c r="U44" s="8"/>
      <c r="V44" s="7"/>
    </row>
    <row r="45" ht="22.5" customHeight="1">
      <c r="A45" s="4">
        <v>45911.30973329861</v>
      </c>
      <c r="B45" s="5" t="s">
        <v>123</v>
      </c>
      <c r="C45" s="5" t="s">
        <v>19</v>
      </c>
      <c r="D45" s="5" t="s">
        <v>124</v>
      </c>
      <c r="E45" s="5">
        <v>2.4013010173E10</v>
      </c>
      <c r="F45" s="5" t="s">
        <v>105</v>
      </c>
      <c r="G45" s="5" t="s">
        <v>106</v>
      </c>
      <c r="H45" s="5">
        <v>6.28585946135E12</v>
      </c>
      <c r="I45" s="5">
        <v>6.0</v>
      </c>
      <c r="J45" s="5" t="s">
        <v>34</v>
      </c>
      <c r="K45" s="5">
        <v>4.0</v>
      </c>
      <c r="L45" s="5">
        <v>7.0</v>
      </c>
      <c r="M45" s="5" t="s">
        <v>49</v>
      </c>
      <c r="N45" s="5" t="s">
        <v>25</v>
      </c>
      <c r="O45" s="5" t="s">
        <v>26</v>
      </c>
      <c r="P45" s="5">
        <v>5.0</v>
      </c>
      <c r="Q45" s="5">
        <v>5.0</v>
      </c>
      <c r="R45" s="5">
        <v>3.0</v>
      </c>
      <c r="U45" s="8"/>
      <c r="V45" s="7"/>
    </row>
    <row r="46" ht="22.5" customHeight="1">
      <c r="A46" s="4">
        <v>45911.30974766204</v>
      </c>
      <c r="B46" s="5" t="s">
        <v>125</v>
      </c>
      <c r="C46" s="5" t="s">
        <v>19</v>
      </c>
      <c r="D46" s="5" t="s">
        <v>126</v>
      </c>
      <c r="E46" s="5">
        <v>2.4013010203E10</v>
      </c>
      <c r="F46" s="5" t="s">
        <v>105</v>
      </c>
      <c r="G46" s="5" t="s">
        <v>106</v>
      </c>
      <c r="H46" s="5">
        <v>6.289687634484E12</v>
      </c>
      <c r="I46" s="5">
        <v>6.0</v>
      </c>
      <c r="J46" s="5" t="s">
        <v>23</v>
      </c>
      <c r="K46" s="5">
        <v>4.0</v>
      </c>
      <c r="L46" s="5">
        <v>4.0</v>
      </c>
      <c r="M46" s="5" t="s">
        <v>24</v>
      </c>
      <c r="N46" s="5" t="s">
        <v>25</v>
      </c>
      <c r="O46" s="5" t="s">
        <v>35</v>
      </c>
      <c r="P46" s="5">
        <v>3.0</v>
      </c>
      <c r="Q46" s="5">
        <v>3.0</v>
      </c>
      <c r="R46" s="5">
        <v>2.0</v>
      </c>
      <c r="U46" s="8"/>
      <c r="V46" s="7"/>
    </row>
    <row r="47" ht="22.5" customHeight="1">
      <c r="A47" s="4">
        <v>45911.3098049074</v>
      </c>
      <c r="B47" s="5" t="s">
        <v>127</v>
      </c>
      <c r="C47" s="5" t="s">
        <v>19</v>
      </c>
      <c r="D47" s="5" t="s">
        <v>128</v>
      </c>
      <c r="E47" s="5">
        <v>2.4013010329E10</v>
      </c>
      <c r="F47" s="5" t="s">
        <v>105</v>
      </c>
      <c r="G47" s="5" t="s">
        <v>106</v>
      </c>
      <c r="H47" s="5">
        <v>6.285707116659E12</v>
      </c>
      <c r="I47" s="5">
        <v>5.0</v>
      </c>
      <c r="J47" s="5" t="s">
        <v>23</v>
      </c>
      <c r="K47" s="5">
        <v>4.0</v>
      </c>
      <c r="L47" s="5">
        <v>5.0</v>
      </c>
      <c r="M47" s="5" t="s">
        <v>24</v>
      </c>
      <c r="N47" s="5" t="s">
        <v>25</v>
      </c>
      <c r="O47" s="5" t="s">
        <v>26</v>
      </c>
      <c r="P47" s="5">
        <v>5.0</v>
      </c>
      <c r="Q47" s="5">
        <v>5.0</v>
      </c>
      <c r="R47" s="5">
        <v>3.0</v>
      </c>
      <c r="U47" s="8"/>
      <c r="V47" s="7"/>
    </row>
    <row r="48" ht="22.5" customHeight="1">
      <c r="A48" s="4">
        <v>45911.310158796296</v>
      </c>
      <c r="B48" s="5" t="s">
        <v>129</v>
      </c>
      <c r="C48" s="5" t="s">
        <v>19</v>
      </c>
      <c r="D48" s="5" t="s">
        <v>130</v>
      </c>
      <c r="E48" s="5">
        <v>2.4013010094E10</v>
      </c>
      <c r="F48" s="5" t="s">
        <v>105</v>
      </c>
      <c r="G48" s="5" t="s">
        <v>106</v>
      </c>
      <c r="H48" s="5">
        <v>6.282229299667E12</v>
      </c>
      <c r="I48" s="5">
        <v>1.0</v>
      </c>
      <c r="J48" s="5" t="s">
        <v>34</v>
      </c>
      <c r="K48" s="5">
        <v>2.0</v>
      </c>
      <c r="L48" s="5">
        <v>2.0</v>
      </c>
      <c r="M48" s="5" t="s">
        <v>64</v>
      </c>
      <c r="N48" s="5" t="s">
        <v>25</v>
      </c>
      <c r="O48" s="5" t="s">
        <v>35</v>
      </c>
      <c r="P48" s="5">
        <v>3.0</v>
      </c>
      <c r="Q48" s="5">
        <v>3.0</v>
      </c>
      <c r="R48" s="5">
        <v>3.0</v>
      </c>
      <c r="U48" s="8"/>
      <c r="V48" s="7"/>
    </row>
    <row r="49" ht="22.5" customHeight="1">
      <c r="A49" s="4">
        <v>45911.31052112269</v>
      </c>
      <c r="B49" s="5" t="s">
        <v>131</v>
      </c>
      <c r="C49" s="5" t="s">
        <v>19</v>
      </c>
      <c r="D49" s="5" t="s">
        <v>132</v>
      </c>
      <c r="E49" s="5">
        <v>2.4013010154E10</v>
      </c>
      <c r="F49" s="5" t="s">
        <v>105</v>
      </c>
      <c r="G49" s="5" t="s">
        <v>106</v>
      </c>
      <c r="H49" s="5">
        <v>6.285244933505E12</v>
      </c>
      <c r="I49" s="5">
        <v>6.0</v>
      </c>
      <c r="J49" s="5" t="s">
        <v>23</v>
      </c>
      <c r="K49" s="5">
        <v>4.0</v>
      </c>
      <c r="L49" s="5">
        <v>2.0</v>
      </c>
      <c r="M49" s="5" t="s">
        <v>24</v>
      </c>
      <c r="N49" s="5" t="s">
        <v>25</v>
      </c>
      <c r="O49" s="5" t="s">
        <v>26</v>
      </c>
      <c r="P49" s="5">
        <v>4.0</v>
      </c>
      <c r="Q49" s="5">
        <v>5.0</v>
      </c>
      <c r="R49" s="5">
        <v>1.0</v>
      </c>
      <c r="U49" s="8"/>
      <c r="V49" s="7"/>
    </row>
    <row r="50" ht="22.5" customHeight="1">
      <c r="A50" s="4">
        <v>45911.31064894676</v>
      </c>
      <c r="B50" s="5" t="s">
        <v>133</v>
      </c>
      <c r="C50" s="5" t="s">
        <v>19</v>
      </c>
      <c r="D50" s="5" t="s">
        <v>134</v>
      </c>
      <c r="E50" s="5">
        <v>2.4013010142E10</v>
      </c>
      <c r="F50" s="5" t="s">
        <v>105</v>
      </c>
      <c r="G50" s="5" t="s">
        <v>106</v>
      </c>
      <c r="H50" s="5">
        <v>6.2881024994872E13</v>
      </c>
      <c r="I50" s="5">
        <v>5.0</v>
      </c>
      <c r="J50" s="5" t="s">
        <v>23</v>
      </c>
      <c r="K50" s="5">
        <v>4.0</v>
      </c>
      <c r="L50" s="5">
        <v>3.0</v>
      </c>
      <c r="M50" s="5" t="s">
        <v>24</v>
      </c>
      <c r="N50" s="5" t="s">
        <v>25</v>
      </c>
      <c r="O50" s="5" t="s">
        <v>26</v>
      </c>
      <c r="P50" s="5">
        <v>4.0</v>
      </c>
      <c r="Q50" s="5">
        <v>5.0</v>
      </c>
      <c r="R50" s="5">
        <v>3.0</v>
      </c>
      <c r="U50" s="8"/>
      <c r="V50" s="7"/>
    </row>
    <row r="51" ht="22.5" customHeight="1">
      <c r="A51" s="4">
        <v>45911.3108097338</v>
      </c>
      <c r="B51" s="5" t="s">
        <v>135</v>
      </c>
      <c r="C51" s="5" t="s">
        <v>19</v>
      </c>
      <c r="D51" s="5" t="s">
        <v>136</v>
      </c>
      <c r="E51" s="5">
        <v>2.4013010158E10</v>
      </c>
      <c r="F51" s="5" t="s">
        <v>105</v>
      </c>
      <c r="G51" s="5" t="s">
        <v>106</v>
      </c>
      <c r="H51" s="5">
        <v>6.283849072572E12</v>
      </c>
      <c r="I51" s="5">
        <v>6.0</v>
      </c>
      <c r="J51" s="5" t="s">
        <v>23</v>
      </c>
      <c r="K51" s="5">
        <v>4.0</v>
      </c>
      <c r="L51" s="5">
        <v>2.0</v>
      </c>
      <c r="M51" s="5" t="s">
        <v>24</v>
      </c>
      <c r="N51" s="5" t="s">
        <v>25</v>
      </c>
      <c r="O51" s="5" t="s">
        <v>26</v>
      </c>
      <c r="P51" s="5">
        <v>4.0</v>
      </c>
      <c r="Q51" s="5">
        <v>5.0</v>
      </c>
      <c r="R51" s="5">
        <v>1.0</v>
      </c>
      <c r="U51" s="8"/>
      <c r="V51" s="7"/>
    </row>
    <row r="52" ht="22.5" customHeight="1">
      <c r="A52" s="4">
        <v>45911.311100046296</v>
      </c>
      <c r="B52" s="5" t="s">
        <v>137</v>
      </c>
      <c r="C52" s="5" t="s">
        <v>19</v>
      </c>
      <c r="D52" s="5" t="s">
        <v>138</v>
      </c>
      <c r="E52" s="5">
        <v>2.4013010418E10</v>
      </c>
      <c r="F52" s="5" t="s">
        <v>105</v>
      </c>
      <c r="G52" s="5" t="s">
        <v>106</v>
      </c>
      <c r="H52" s="5">
        <v>6.282226822803E12</v>
      </c>
      <c r="I52" s="5">
        <v>2.0</v>
      </c>
      <c r="J52" s="5" t="s">
        <v>34</v>
      </c>
      <c r="K52" s="5">
        <v>3.0</v>
      </c>
      <c r="L52" s="5">
        <v>3.0</v>
      </c>
      <c r="M52" s="5" t="s">
        <v>49</v>
      </c>
      <c r="N52" s="5" t="s">
        <v>25</v>
      </c>
      <c r="O52" s="5" t="s">
        <v>29</v>
      </c>
      <c r="P52" s="5">
        <v>3.0</v>
      </c>
      <c r="Q52" s="5">
        <v>3.0</v>
      </c>
      <c r="R52" s="5">
        <v>1.0</v>
      </c>
      <c r="U52" s="8"/>
      <c r="V52" s="7"/>
    </row>
    <row r="53" ht="22.5" customHeight="1">
      <c r="A53" s="4">
        <v>45911.311719861114</v>
      </c>
      <c r="B53" s="5" t="s">
        <v>139</v>
      </c>
      <c r="C53" s="5" t="s">
        <v>19</v>
      </c>
      <c r="D53" s="5" t="s">
        <v>140</v>
      </c>
      <c r="E53" s="5">
        <v>2.4013010306E10</v>
      </c>
      <c r="F53" s="5" t="s">
        <v>105</v>
      </c>
      <c r="G53" s="5" t="s">
        <v>106</v>
      </c>
      <c r="H53" s="5">
        <v>6.285745200127E12</v>
      </c>
      <c r="I53" s="5">
        <v>8.0</v>
      </c>
      <c r="J53" s="5" t="s">
        <v>23</v>
      </c>
      <c r="K53" s="5">
        <v>4.0</v>
      </c>
      <c r="L53" s="5">
        <v>4.0</v>
      </c>
      <c r="M53" s="5" t="s">
        <v>24</v>
      </c>
      <c r="N53" s="5" t="s">
        <v>25</v>
      </c>
      <c r="O53" s="5" t="s">
        <v>26</v>
      </c>
      <c r="P53" s="5">
        <v>4.0</v>
      </c>
      <c r="Q53" s="5">
        <v>4.0</v>
      </c>
      <c r="R53" s="5">
        <v>2.0</v>
      </c>
      <c r="U53" s="8"/>
      <c r="V53" s="7"/>
    </row>
    <row r="54" ht="22.5" customHeight="1">
      <c r="A54" s="4">
        <v>45911.31216109954</v>
      </c>
      <c r="B54" s="5" t="s">
        <v>141</v>
      </c>
      <c r="C54" s="5" t="s">
        <v>19</v>
      </c>
      <c r="D54" s="5" t="s">
        <v>142</v>
      </c>
      <c r="E54" s="5">
        <v>2.4013010325E10</v>
      </c>
      <c r="F54" s="5" t="s">
        <v>105</v>
      </c>
      <c r="G54" s="5" t="s">
        <v>106</v>
      </c>
      <c r="H54" s="5">
        <v>6.28123225367E12</v>
      </c>
      <c r="I54" s="5">
        <v>2.0</v>
      </c>
      <c r="J54" s="5" t="s">
        <v>23</v>
      </c>
      <c r="K54" s="5">
        <v>7.0</v>
      </c>
      <c r="L54" s="5">
        <v>5.0</v>
      </c>
      <c r="M54" s="5" t="s">
        <v>49</v>
      </c>
      <c r="N54" s="5" t="s">
        <v>25</v>
      </c>
      <c r="O54" s="5" t="s">
        <v>29</v>
      </c>
      <c r="P54" s="5">
        <v>3.0</v>
      </c>
      <c r="Q54" s="5">
        <v>4.0</v>
      </c>
      <c r="R54" s="5">
        <v>2.0</v>
      </c>
      <c r="U54" s="8"/>
      <c r="V54" s="7"/>
    </row>
    <row r="55" ht="22.5" customHeight="1">
      <c r="A55" s="4">
        <v>45911.47429511574</v>
      </c>
      <c r="B55" s="5" t="s">
        <v>143</v>
      </c>
      <c r="C55" s="5" t="s">
        <v>19</v>
      </c>
      <c r="D55" s="5" t="s">
        <v>144</v>
      </c>
      <c r="E55" s="5">
        <v>2.4047010013E10</v>
      </c>
      <c r="F55" s="5" t="s">
        <v>21</v>
      </c>
      <c r="G55" s="5" t="s">
        <v>145</v>
      </c>
      <c r="H55" s="5">
        <v>6.28555940622E12</v>
      </c>
      <c r="I55" s="5">
        <v>4.0</v>
      </c>
      <c r="J55" s="5" t="s">
        <v>23</v>
      </c>
      <c r="K55" s="5">
        <v>5.0</v>
      </c>
      <c r="L55" s="5">
        <v>3.0</v>
      </c>
      <c r="M55" s="5" t="s">
        <v>24</v>
      </c>
      <c r="N55" s="5" t="s">
        <v>25</v>
      </c>
      <c r="O55" s="5" t="s">
        <v>26</v>
      </c>
      <c r="P55" s="5">
        <v>4.0</v>
      </c>
      <c r="Q55" s="5">
        <v>4.0</v>
      </c>
      <c r="R55" s="5">
        <v>4.0</v>
      </c>
      <c r="U55" s="8"/>
      <c r="V55" s="7"/>
    </row>
    <row r="56" ht="22.5" customHeight="1">
      <c r="A56" s="4">
        <v>45911.47828766204</v>
      </c>
      <c r="B56" s="5" t="s">
        <v>146</v>
      </c>
      <c r="C56" s="5" t="s">
        <v>19</v>
      </c>
      <c r="D56" s="5" t="s">
        <v>147</v>
      </c>
      <c r="E56" s="5">
        <v>2.4047010009E10</v>
      </c>
      <c r="F56" s="5" t="s">
        <v>21</v>
      </c>
      <c r="G56" s="5" t="s">
        <v>145</v>
      </c>
      <c r="H56" s="5">
        <v>6.285746720474E12</v>
      </c>
      <c r="I56" s="5">
        <v>3.0</v>
      </c>
      <c r="J56" s="5" t="s">
        <v>23</v>
      </c>
      <c r="K56" s="5">
        <v>4.0</v>
      </c>
      <c r="L56" s="5">
        <v>2.0</v>
      </c>
      <c r="M56" s="5" t="s">
        <v>24</v>
      </c>
      <c r="N56" s="5" t="s">
        <v>25</v>
      </c>
      <c r="O56" s="5" t="s">
        <v>29</v>
      </c>
      <c r="P56" s="5">
        <v>3.0</v>
      </c>
      <c r="Q56" s="5">
        <v>4.0</v>
      </c>
      <c r="R56" s="5">
        <v>3.0</v>
      </c>
      <c r="U56" s="8"/>
      <c r="V56" s="7"/>
    </row>
    <row r="57" ht="22.5" customHeight="1">
      <c r="A57" s="4">
        <v>45910.425963553236</v>
      </c>
      <c r="B57" s="5" t="s">
        <v>148</v>
      </c>
      <c r="C57" s="5" t="s">
        <v>19</v>
      </c>
      <c r="D57" s="5" t="s">
        <v>149</v>
      </c>
      <c r="E57" s="5">
        <v>2.4084010004E10</v>
      </c>
      <c r="F57" s="5" t="s">
        <v>150</v>
      </c>
      <c r="G57" s="5" t="s">
        <v>151</v>
      </c>
      <c r="H57" s="5">
        <v>6.28983306299E11</v>
      </c>
      <c r="I57" s="6">
        <v>3.0</v>
      </c>
      <c r="J57" s="5" t="s">
        <v>23</v>
      </c>
      <c r="K57" s="6">
        <v>5.0</v>
      </c>
      <c r="L57" s="6">
        <v>4.0</v>
      </c>
      <c r="M57" s="5" t="s">
        <v>24</v>
      </c>
      <c r="N57" s="5" t="s">
        <v>25</v>
      </c>
      <c r="O57" s="5" t="s">
        <v>26</v>
      </c>
      <c r="P57" s="6">
        <v>5.0</v>
      </c>
      <c r="Q57" s="6">
        <v>5.0</v>
      </c>
      <c r="R57" s="6">
        <v>2.0</v>
      </c>
      <c r="U57" s="8"/>
      <c r="V57" s="7"/>
    </row>
    <row r="58" ht="22.5" customHeight="1">
      <c r="A58" s="4">
        <v>45910.43830232639</v>
      </c>
      <c r="B58" s="5" t="s">
        <v>152</v>
      </c>
      <c r="C58" s="5" t="s">
        <v>19</v>
      </c>
      <c r="D58" s="5" t="s">
        <v>153</v>
      </c>
      <c r="E58" s="5">
        <v>2.3084010051E10</v>
      </c>
      <c r="F58" s="5" t="s">
        <v>150</v>
      </c>
      <c r="G58" s="5" t="s">
        <v>151</v>
      </c>
      <c r="H58" s="5">
        <v>6.282139561798E12</v>
      </c>
      <c r="I58" s="6">
        <v>9.0</v>
      </c>
      <c r="J58" s="5" t="s">
        <v>96</v>
      </c>
      <c r="K58" s="6">
        <v>2.0</v>
      </c>
      <c r="L58" s="6">
        <v>2.0</v>
      </c>
      <c r="M58" s="5" t="s">
        <v>24</v>
      </c>
      <c r="N58" s="5" t="s">
        <v>25</v>
      </c>
      <c r="O58" s="5" t="s">
        <v>29</v>
      </c>
      <c r="P58" s="6">
        <v>5.0</v>
      </c>
      <c r="Q58" s="6">
        <v>5.0</v>
      </c>
      <c r="R58" s="6">
        <v>1.0</v>
      </c>
      <c r="U58" s="8"/>
      <c r="V58" s="7"/>
    </row>
    <row r="59" ht="22.5" customHeight="1">
      <c r="A59" s="4">
        <v>45911.60304443287</v>
      </c>
      <c r="B59" s="5" t="s">
        <v>154</v>
      </c>
      <c r="C59" s="5" t="s">
        <v>19</v>
      </c>
      <c r="D59" s="5" t="s">
        <v>155</v>
      </c>
      <c r="E59" s="5">
        <v>2.4052010067E10</v>
      </c>
      <c r="F59" s="5" t="s">
        <v>156</v>
      </c>
      <c r="G59" s="5" t="s">
        <v>157</v>
      </c>
      <c r="H59" s="5">
        <v>6.281230289946E12</v>
      </c>
      <c r="I59" s="5">
        <v>6.0</v>
      </c>
      <c r="J59" s="5" t="s">
        <v>23</v>
      </c>
      <c r="K59" s="5">
        <v>5.0</v>
      </c>
      <c r="L59" s="5">
        <v>5.0</v>
      </c>
      <c r="M59" s="5" t="s">
        <v>24</v>
      </c>
      <c r="N59" s="5" t="s">
        <v>25</v>
      </c>
      <c r="O59" s="5" t="s">
        <v>35</v>
      </c>
      <c r="P59" s="5">
        <v>4.0</v>
      </c>
      <c r="Q59" s="5">
        <v>4.0</v>
      </c>
      <c r="R59" s="5">
        <v>2.0</v>
      </c>
      <c r="U59" s="8"/>
      <c r="V59" s="7"/>
    </row>
    <row r="60" ht="22.5" customHeight="1">
      <c r="A60" s="4">
        <v>45910.451445416664</v>
      </c>
      <c r="B60" s="5" t="s">
        <v>158</v>
      </c>
      <c r="C60" s="5" t="s">
        <v>19</v>
      </c>
      <c r="D60" s="5" t="s">
        <v>159</v>
      </c>
      <c r="E60" s="5">
        <v>2.403701001E10</v>
      </c>
      <c r="F60" s="5" t="s">
        <v>160</v>
      </c>
      <c r="G60" s="5" t="s">
        <v>161</v>
      </c>
      <c r="H60" s="5">
        <v>6.281249732509E12</v>
      </c>
      <c r="I60" s="6">
        <v>4.0</v>
      </c>
      <c r="J60" s="5" t="s">
        <v>23</v>
      </c>
      <c r="K60" s="6">
        <v>4.0</v>
      </c>
      <c r="L60" s="6">
        <v>4.0</v>
      </c>
      <c r="M60" s="5" t="s">
        <v>24</v>
      </c>
      <c r="N60" s="5" t="s">
        <v>25</v>
      </c>
      <c r="O60" s="5" t="s">
        <v>29</v>
      </c>
      <c r="P60" s="6">
        <v>3.0</v>
      </c>
      <c r="Q60" s="6">
        <v>4.0</v>
      </c>
      <c r="R60" s="6">
        <v>1.0</v>
      </c>
      <c r="U60" s="8"/>
      <c r="V60" s="7"/>
    </row>
    <row r="61" ht="22.5" customHeight="1">
      <c r="A61" s="4">
        <v>45911.478006840276</v>
      </c>
      <c r="B61" s="5" t="s">
        <v>162</v>
      </c>
      <c r="C61" s="5" t="s">
        <v>19</v>
      </c>
      <c r="D61" s="5" t="s">
        <v>163</v>
      </c>
      <c r="E61" s="5">
        <v>2.404401016E10</v>
      </c>
      <c r="F61" s="5" t="s">
        <v>21</v>
      </c>
      <c r="G61" s="5" t="s">
        <v>164</v>
      </c>
      <c r="H61" s="5">
        <v>6.289686780655E12</v>
      </c>
      <c r="I61" s="5">
        <v>3.0</v>
      </c>
      <c r="J61" s="5" t="s">
        <v>23</v>
      </c>
      <c r="K61" s="5">
        <v>4.0</v>
      </c>
      <c r="L61" s="5">
        <v>2.0</v>
      </c>
      <c r="M61" s="5" t="s">
        <v>49</v>
      </c>
      <c r="N61" s="5" t="s">
        <v>25</v>
      </c>
      <c r="O61" s="5" t="s">
        <v>29</v>
      </c>
      <c r="P61" s="5">
        <v>3.0</v>
      </c>
      <c r="Q61" s="5">
        <v>3.0</v>
      </c>
      <c r="R61" s="5">
        <v>2.0</v>
      </c>
      <c r="U61" s="8"/>
      <c r="V61" s="7"/>
    </row>
    <row r="62" ht="22.5" customHeight="1">
      <c r="A62" s="4">
        <v>45912.4071730787</v>
      </c>
      <c r="B62" s="5" t="s">
        <v>165</v>
      </c>
      <c r="C62" s="5" t="s">
        <v>19</v>
      </c>
      <c r="D62" s="5" t="s">
        <v>166</v>
      </c>
      <c r="E62" s="5">
        <v>2.4044010006E10</v>
      </c>
      <c r="F62" s="5" t="s">
        <v>21</v>
      </c>
      <c r="G62" s="5" t="s">
        <v>164</v>
      </c>
      <c r="H62" s="5">
        <v>6.289699678933E12</v>
      </c>
      <c r="I62" s="5">
        <v>8.0</v>
      </c>
      <c r="J62" s="5" t="s">
        <v>96</v>
      </c>
      <c r="K62" s="5">
        <v>6.0</v>
      </c>
      <c r="L62" s="5">
        <v>6.0</v>
      </c>
      <c r="M62" s="5" t="s">
        <v>24</v>
      </c>
      <c r="N62" s="5" t="s">
        <v>25</v>
      </c>
      <c r="O62" s="5" t="s">
        <v>35</v>
      </c>
      <c r="P62" s="5">
        <v>4.0</v>
      </c>
      <c r="Q62" s="5">
        <v>4.0</v>
      </c>
      <c r="R62" s="5">
        <v>4.0</v>
      </c>
      <c r="U62" s="8"/>
      <c r="V62" s="7"/>
    </row>
    <row r="63" ht="22.5" customHeight="1">
      <c r="A63" s="4">
        <v>45910.574746909726</v>
      </c>
      <c r="B63" s="5" t="s">
        <v>167</v>
      </c>
      <c r="C63" s="5" t="s">
        <v>19</v>
      </c>
      <c r="D63" s="5" t="s">
        <v>168</v>
      </c>
      <c r="E63" s="5">
        <v>2.5071010008E10</v>
      </c>
      <c r="F63" s="5" t="s">
        <v>169</v>
      </c>
      <c r="G63" s="5" t="s">
        <v>170</v>
      </c>
      <c r="H63" s="10">
        <v>6.28777873231E12</v>
      </c>
      <c r="I63" s="6">
        <v>2.0</v>
      </c>
      <c r="J63" s="5" t="s">
        <v>23</v>
      </c>
      <c r="K63" s="6">
        <v>5.0</v>
      </c>
      <c r="L63" s="6">
        <v>5.0</v>
      </c>
      <c r="M63" s="5" t="s">
        <v>24</v>
      </c>
      <c r="N63" s="5" t="s">
        <v>25</v>
      </c>
      <c r="O63" s="5" t="s">
        <v>35</v>
      </c>
      <c r="P63" s="6">
        <v>3.0</v>
      </c>
      <c r="Q63" s="6">
        <v>2.0</v>
      </c>
      <c r="R63" s="6">
        <v>2.0</v>
      </c>
      <c r="U63" s="8"/>
      <c r="V63" s="7"/>
    </row>
    <row r="64" ht="22.5" customHeight="1">
      <c r="A64" s="4">
        <v>45911.36932229166</v>
      </c>
      <c r="B64" s="5" t="s">
        <v>171</v>
      </c>
      <c r="C64" s="5" t="s">
        <v>19</v>
      </c>
      <c r="D64" s="5" t="s">
        <v>172</v>
      </c>
      <c r="E64" s="5">
        <v>2.5071010075E10</v>
      </c>
      <c r="F64" s="5" t="s">
        <v>169</v>
      </c>
      <c r="G64" s="5" t="s">
        <v>170</v>
      </c>
      <c r="H64" s="5">
        <v>6.287857083899E12</v>
      </c>
      <c r="I64" s="5">
        <v>10.0</v>
      </c>
      <c r="J64" s="5" t="s">
        <v>34</v>
      </c>
      <c r="K64" s="5">
        <v>7.0</v>
      </c>
      <c r="L64" s="5">
        <v>5.0</v>
      </c>
      <c r="M64" s="5" t="s">
        <v>24</v>
      </c>
      <c r="N64" s="5" t="s">
        <v>25</v>
      </c>
      <c r="O64" s="5" t="s">
        <v>35</v>
      </c>
      <c r="P64" s="5">
        <v>4.0</v>
      </c>
      <c r="Q64" s="5">
        <v>4.0</v>
      </c>
      <c r="R64" s="5">
        <v>2.0</v>
      </c>
      <c r="U64" s="8"/>
      <c r="V64" s="7"/>
    </row>
    <row r="65" ht="22.5" customHeight="1">
      <c r="A65" s="4">
        <v>45911.369612372684</v>
      </c>
      <c r="B65" s="5" t="s">
        <v>173</v>
      </c>
      <c r="C65" s="5" t="s">
        <v>19</v>
      </c>
      <c r="D65" s="5" t="s">
        <v>174</v>
      </c>
      <c r="E65" s="5">
        <v>2.5071010109E10</v>
      </c>
      <c r="F65" s="5" t="s">
        <v>169</v>
      </c>
      <c r="G65" s="5" t="s">
        <v>170</v>
      </c>
      <c r="H65" s="5">
        <v>6.283135948286E12</v>
      </c>
      <c r="I65" s="5">
        <v>4.0</v>
      </c>
      <c r="J65" s="5" t="s">
        <v>34</v>
      </c>
      <c r="K65" s="5">
        <v>5.0</v>
      </c>
      <c r="L65" s="5">
        <v>5.0</v>
      </c>
      <c r="M65" s="5" t="s">
        <v>24</v>
      </c>
      <c r="N65" s="5" t="s">
        <v>25</v>
      </c>
      <c r="O65" s="5" t="s">
        <v>26</v>
      </c>
      <c r="P65" s="5">
        <v>5.0</v>
      </c>
      <c r="Q65" s="5">
        <v>5.0</v>
      </c>
      <c r="R65" s="5">
        <v>1.0</v>
      </c>
      <c r="V65" s="7"/>
    </row>
    <row r="66" ht="22.5" customHeight="1">
      <c r="A66" s="4">
        <v>45912.988684537035</v>
      </c>
      <c r="B66" s="5" t="s">
        <v>175</v>
      </c>
      <c r="C66" s="5" t="s">
        <v>19</v>
      </c>
      <c r="D66" s="5" t="s">
        <v>176</v>
      </c>
      <c r="E66" s="5">
        <v>2.4071010331E10</v>
      </c>
      <c r="F66" s="5" t="s">
        <v>169</v>
      </c>
      <c r="G66" s="5" t="s">
        <v>170</v>
      </c>
      <c r="H66" s="5">
        <v>6.285175081105E12</v>
      </c>
      <c r="I66" s="5">
        <v>4.0</v>
      </c>
      <c r="J66" s="5" t="s">
        <v>23</v>
      </c>
      <c r="K66" s="5">
        <v>4.0</v>
      </c>
      <c r="L66" s="5">
        <v>1.0</v>
      </c>
      <c r="M66" s="5" t="s">
        <v>64</v>
      </c>
      <c r="N66" s="5" t="s">
        <v>25</v>
      </c>
      <c r="O66" s="5" t="s">
        <v>26</v>
      </c>
      <c r="P66" s="5">
        <v>5.0</v>
      </c>
      <c r="Q66" s="5">
        <v>5.0</v>
      </c>
      <c r="R66" s="5">
        <v>2.0</v>
      </c>
      <c r="V66" s="7"/>
    </row>
    <row r="67" ht="22.5" customHeight="1">
      <c r="A67" s="4">
        <v>45910.4155747801</v>
      </c>
      <c r="B67" s="5" t="s">
        <v>177</v>
      </c>
      <c r="C67" s="5" t="s">
        <v>19</v>
      </c>
      <c r="D67" s="5" t="s">
        <v>178</v>
      </c>
      <c r="E67" s="5">
        <v>2.4043010272E10</v>
      </c>
      <c r="F67" s="5" t="s">
        <v>21</v>
      </c>
      <c r="G67" s="5" t="s">
        <v>179</v>
      </c>
      <c r="H67" s="5">
        <v>6.282127163914E12</v>
      </c>
      <c r="I67" s="6">
        <v>5.0</v>
      </c>
      <c r="J67" s="5" t="s">
        <v>23</v>
      </c>
      <c r="K67" s="6">
        <v>5.0</v>
      </c>
      <c r="L67" s="6">
        <v>6.0</v>
      </c>
      <c r="M67" s="5" t="s">
        <v>46</v>
      </c>
      <c r="N67" s="5" t="s">
        <v>25</v>
      </c>
      <c r="O67" s="5" t="s">
        <v>26</v>
      </c>
      <c r="P67" s="6">
        <v>5.0</v>
      </c>
      <c r="Q67" s="6">
        <v>4.0</v>
      </c>
      <c r="R67" s="6">
        <v>3.0</v>
      </c>
      <c r="V67" s="7"/>
    </row>
    <row r="68" ht="22.5" customHeight="1">
      <c r="A68" s="4">
        <v>45910.420920034725</v>
      </c>
      <c r="B68" s="5" t="s">
        <v>180</v>
      </c>
      <c r="C68" s="5" t="s">
        <v>19</v>
      </c>
      <c r="D68" s="5" t="s">
        <v>181</v>
      </c>
      <c r="E68" s="5">
        <v>2.404301003E10</v>
      </c>
      <c r="F68" s="5" t="s">
        <v>21</v>
      </c>
      <c r="G68" s="5" t="s">
        <v>179</v>
      </c>
      <c r="H68" s="5">
        <v>6.38538553712E12</v>
      </c>
      <c r="I68" s="6">
        <v>4.0</v>
      </c>
      <c r="J68" s="5" t="s">
        <v>34</v>
      </c>
      <c r="K68" s="6">
        <v>5.0</v>
      </c>
      <c r="L68" s="6">
        <v>1.0</v>
      </c>
      <c r="M68" s="5" t="s">
        <v>49</v>
      </c>
      <c r="N68" s="5" t="s">
        <v>25</v>
      </c>
      <c r="O68" s="5" t="s">
        <v>26</v>
      </c>
      <c r="P68" s="6">
        <v>5.0</v>
      </c>
      <c r="Q68" s="6">
        <v>5.0</v>
      </c>
      <c r="R68" s="6">
        <v>5.0</v>
      </c>
      <c r="V68" s="7"/>
    </row>
    <row r="69" ht="22.5" customHeight="1">
      <c r="A69" s="4">
        <v>45910.442835567126</v>
      </c>
      <c r="B69" s="5" t="s">
        <v>182</v>
      </c>
      <c r="C69" s="5" t="s">
        <v>19</v>
      </c>
      <c r="D69" s="5" t="s">
        <v>183</v>
      </c>
      <c r="E69" s="5">
        <v>2.4043010309E10</v>
      </c>
      <c r="F69" s="5" t="s">
        <v>21</v>
      </c>
      <c r="G69" s="5" t="s">
        <v>179</v>
      </c>
      <c r="H69" s="5">
        <v>6.285855264233E12</v>
      </c>
      <c r="I69" s="6">
        <v>5.0</v>
      </c>
      <c r="J69" s="5" t="s">
        <v>23</v>
      </c>
      <c r="K69" s="6">
        <v>5.0</v>
      </c>
      <c r="L69" s="6">
        <v>5.0</v>
      </c>
      <c r="M69" s="5" t="s">
        <v>46</v>
      </c>
      <c r="N69" s="5" t="s">
        <v>25</v>
      </c>
      <c r="O69" s="5" t="s">
        <v>26</v>
      </c>
      <c r="P69" s="6">
        <v>5.0</v>
      </c>
      <c r="Q69" s="6">
        <v>5.0</v>
      </c>
      <c r="R69" s="6">
        <v>1.0</v>
      </c>
      <c r="V69" s="7"/>
    </row>
    <row r="70" ht="22.5" customHeight="1">
      <c r="A70" s="4">
        <v>45910.44385591435</v>
      </c>
      <c r="B70" s="5" t="s">
        <v>184</v>
      </c>
      <c r="C70" s="5" t="s">
        <v>19</v>
      </c>
      <c r="D70" s="5" t="s">
        <v>185</v>
      </c>
      <c r="E70" s="5">
        <v>2.4043010159E10</v>
      </c>
      <c r="F70" s="5" t="s">
        <v>21</v>
      </c>
      <c r="G70" s="5" t="s">
        <v>179</v>
      </c>
      <c r="H70" s="5">
        <v>6.28123456789E12</v>
      </c>
      <c r="I70" s="6">
        <v>1.0</v>
      </c>
      <c r="J70" s="5" t="s">
        <v>23</v>
      </c>
      <c r="K70" s="6">
        <v>7.0</v>
      </c>
      <c r="L70" s="6">
        <v>1.0</v>
      </c>
      <c r="M70" s="5" t="s">
        <v>64</v>
      </c>
      <c r="N70" s="5" t="s">
        <v>25</v>
      </c>
      <c r="O70" s="5" t="s">
        <v>29</v>
      </c>
      <c r="P70" s="6">
        <v>4.0</v>
      </c>
      <c r="Q70" s="6">
        <v>4.0</v>
      </c>
      <c r="R70" s="6">
        <v>1.0</v>
      </c>
      <c r="V70" s="7"/>
    </row>
    <row r="71" ht="22.5" customHeight="1">
      <c r="A71" s="4">
        <v>45911.40388056713</v>
      </c>
      <c r="B71" s="5" t="s">
        <v>186</v>
      </c>
      <c r="C71" s="5" t="s">
        <v>19</v>
      </c>
      <c r="D71" s="5" t="s">
        <v>187</v>
      </c>
      <c r="E71" s="5">
        <v>2.4043010287E10</v>
      </c>
      <c r="F71" s="5" t="s">
        <v>21</v>
      </c>
      <c r="G71" s="5" t="s">
        <v>179</v>
      </c>
      <c r="H71" s="5">
        <v>6.28123456789E12</v>
      </c>
      <c r="I71" s="5">
        <v>2.0</v>
      </c>
      <c r="J71" s="5" t="s">
        <v>96</v>
      </c>
      <c r="K71" s="5">
        <v>7.0</v>
      </c>
      <c r="L71" s="5">
        <v>5.0</v>
      </c>
      <c r="M71" s="5" t="s">
        <v>46</v>
      </c>
      <c r="N71" s="5" t="s">
        <v>25</v>
      </c>
      <c r="O71" s="5" t="s">
        <v>26</v>
      </c>
      <c r="P71" s="5">
        <v>5.0</v>
      </c>
      <c r="Q71" s="5">
        <v>5.0</v>
      </c>
      <c r="R71" s="5">
        <v>9.0</v>
      </c>
      <c r="V71" s="7"/>
    </row>
    <row r="72" ht="22.5" customHeight="1">
      <c r="A72" s="4">
        <v>45911.40399835648</v>
      </c>
      <c r="B72" s="5" t="s">
        <v>188</v>
      </c>
      <c r="C72" s="5" t="s">
        <v>19</v>
      </c>
      <c r="D72" s="5" t="s">
        <v>189</v>
      </c>
      <c r="E72" s="5">
        <v>2.4043010034E10</v>
      </c>
      <c r="F72" s="5" t="s">
        <v>21</v>
      </c>
      <c r="G72" s="5" t="s">
        <v>179</v>
      </c>
      <c r="H72" s="5">
        <v>6.281324648226E12</v>
      </c>
      <c r="I72" s="5">
        <v>11.0</v>
      </c>
      <c r="J72" s="5" t="s">
        <v>23</v>
      </c>
      <c r="K72" s="5">
        <v>4.0</v>
      </c>
      <c r="L72" s="5">
        <v>3.0</v>
      </c>
      <c r="M72" s="5" t="s">
        <v>49</v>
      </c>
      <c r="N72" s="5" t="s">
        <v>25</v>
      </c>
      <c r="O72" s="5" t="s">
        <v>29</v>
      </c>
      <c r="P72" s="5">
        <v>4.0</v>
      </c>
      <c r="Q72" s="5">
        <v>4.0</v>
      </c>
      <c r="R72" s="5">
        <v>2.0</v>
      </c>
      <c r="V72" s="7"/>
    </row>
    <row r="73" ht="22.5" customHeight="1">
      <c r="A73" s="4">
        <v>45911.404785543986</v>
      </c>
      <c r="B73" s="5" t="s">
        <v>190</v>
      </c>
      <c r="C73" s="5" t="s">
        <v>19</v>
      </c>
      <c r="D73" s="5" t="s">
        <v>191</v>
      </c>
      <c r="E73" s="5">
        <v>2.4043010033E10</v>
      </c>
      <c r="F73" s="5" t="s">
        <v>21</v>
      </c>
      <c r="G73" s="5" t="s">
        <v>179</v>
      </c>
      <c r="H73" s="5">
        <v>6.285785947042E12</v>
      </c>
      <c r="I73" s="5">
        <v>11.0</v>
      </c>
      <c r="J73" s="5" t="s">
        <v>23</v>
      </c>
      <c r="K73" s="5">
        <v>4.0</v>
      </c>
      <c r="L73" s="5">
        <v>4.0</v>
      </c>
      <c r="M73" s="5" t="s">
        <v>24</v>
      </c>
      <c r="N73" s="5" t="s">
        <v>25</v>
      </c>
      <c r="O73" s="5" t="s">
        <v>29</v>
      </c>
      <c r="P73" s="5">
        <v>4.0</v>
      </c>
      <c r="Q73" s="5">
        <v>5.0</v>
      </c>
      <c r="R73" s="5">
        <v>2.0</v>
      </c>
      <c r="V73" s="7"/>
    </row>
    <row r="74" ht="22.5" customHeight="1">
      <c r="A74" s="4">
        <v>45911.40527418982</v>
      </c>
      <c r="B74" s="5" t="s">
        <v>192</v>
      </c>
      <c r="C74" s="5" t="s">
        <v>19</v>
      </c>
      <c r="D74" s="5" t="s">
        <v>193</v>
      </c>
      <c r="E74" s="5">
        <v>2.4043010154E10</v>
      </c>
      <c r="F74" s="5" t="s">
        <v>21</v>
      </c>
      <c r="G74" s="5" t="s">
        <v>179</v>
      </c>
      <c r="H74" s="5">
        <v>6.282143733757E12</v>
      </c>
      <c r="I74" s="5">
        <v>11.0</v>
      </c>
      <c r="J74" s="5" t="s">
        <v>34</v>
      </c>
      <c r="K74" s="5">
        <v>7.0</v>
      </c>
      <c r="L74" s="5">
        <v>2.0</v>
      </c>
      <c r="M74" s="5" t="s">
        <v>24</v>
      </c>
      <c r="N74" s="5" t="s">
        <v>25</v>
      </c>
      <c r="O74" s="5" t="s">
        <v>26</v>
      </c>
      <c r="P74" s="5">
        <v>4.0</v>
      </c>
      <c r="Q74" s="5">
        <v>4.0</v>
      </c>
      <c r="R74" s="5">
        <v>1.0</v>
      </c>
      <c r="V74" s="7"/>
    </row>
    <row r="75" ht="22.5" customHeight="1">
      <c r="A75" s="4">
        <v>45911.406200185185</v>
      </c>
      <c r="B75" s="5" t="s">
        <v>194</v>
      </c>
      <c r="C75" s="5" t="s">
        <v>19</v>
      </c>
      <c r="D75" s="5" t="s">
        <v>195</v>
      </c>
      <c r="E75" s="5">
        <v>2.4043010002E10</v>
      </c>
      <c r="F75" s="5" t="s">
        <v>21</v>
      </c>
      <c r="G75" s="5" t="s">
        <v>179</v>
      </c>
      <c r="H75" s="5">
        <v>6.28179210106E11</v>
      </c>
      <c r="I75" s="5">
        <v>4.0</v>
      </c>
      <c r="J75" s="5" t="s">
        <v>196</v>
      </c>
      <c r="K75" s="5">
        <v>6.0</v>
      </c>
      <c r="L75" s="5">
        <v>4.0</v>
      </c>
      <c r="M75" s="5" t="s">
        <v>64</v>
      </c>
      <c r="N75" s="5" t="s">
        <v>25</v>
      </c>
      <c r="O75" s="5" t="s">
        <v>29</v>
      </c>
      <c r="P75" s="5">
        <v>3.0</v>
      </c>
      <c r="Q75" s="5">
        <v>3.0</v>
      </c>
      <c r="R75" s="5">
        <v>1.0</v>
      </c>
      <c r="V75" s="7"/>
    </row>
    <row r="76" ht="22.5" customHeight="1">
      <c r="A76" s="4">
        <v>45911.46481041667</v>
      </c>
      <c r="B76" s="5" t="s">
        <v>197</v>
      </c>
      <c r="C76" s="5" t="s">
        <v>19</v>
      </c>
      <c r="D76" s="5" t="s">
        <v>198</v>
      </c>
      <c r="E76" s="5">
        <v>2.4043010205E10</v>
      </c>
      <c r="F76" s="5" t="s">
        <v>21</v>
      </c>
      <c r="G76" s="5" t="s">
        <v>179</v>
      </c>
      <c r="H76" s="5">
        <v>6.28224471453E12</v>
      </c>
      <c r="I76" s="5">
        <v>8.0</v>
      </c>
      <c r="J76" s="5" t="s">
        <v>23</v>
      </c>
      <c r="K76" s="5">
        <v>3.0</v>
      </c>
      <c r="L76" s="5">
        <v>2.0</v>
      </c>
      <c r="M76" s="5" t="s">
        <v>24</v>
      </c>
      <c r="N76" s="5" t="s">
        <v>25</v>
      </c>
      <c r="O76" s="5" t="s">
        <v>29</v>
      </c>
      <c r="P76" s="5">
        <v>3.0</v>
      </c>
      <c r="Q76" s="5">
        <v>4.0</v>
      </c>
      <c r="R76" s="5">
        <v>2.0</v>
      </c>
      <c r="V76" s="7"/>
    </row>
    <row r="77" ht="22.5" customHeight="1">
      <c r="A77" s="4">
        <v>45911.46552766203</v>
      </c>
      <c r="B77" s="5" t="s">
        <v>199</v>
      </c>
      <c r="C77" s="5" t="s">
        <v>19</v>
      </c>
      <c r="D77" s="5" t="s">
        <v>200</v>
      </c>
      <c r="E77" s="5">
        <v>2.404301022E10</v>
      </c>
      <c r="F77" s="5" t="s">
        <v>21</v>
      </c>
      <c r="G77" s="5" t="s">
        <v>179</v>
      </c>
      <c r="H77" s="5">
        <v>6.28884098908E11</v>
      </c>
      <c r="I77" s="5">
        <v>15.0</v>
      </c>
      <c r="J77" s="5" t="s">
        <v>96</v>
      </c>
      <c r="K77" s="5">
        <v>6.0</v>
      </c>
      <c r="L77" s="5">
        <v>5.0</v>
      </c>
      <c r="M77" s="5" t="s">
        <v>49</v>
      </c>
      <c r="N77" s="5" t="s">
        <v>19</v>
      </c>
      <c r="O77" s="5" t="s">
        <v>26</v>
      </c>
      <c r="P77" s="5">
        <v>4.0</v>
      </c>
      <c r="Q77" s="5">
        <v>5.0</v>
      </c>
      <c r="R77" s="5">
        <v>1.0</v>
      </c>
      <c r="V77" s="7"/>
    </row>
    <row r="78" ht="22.5" customHeight="1">
      <c r="A78" s="4">
        <v>45911.46556039352</v>
      </c>
      <c r="B78" s="5" t="s">
        <v>201</v>
      </c>
      <c r="C78" s="5" t="s">
        <v>19</v>
      </c>
      <c r="D78" s="5" t="s">
        <v>202</v>
      </c>
      <c r="E78" s="5">
        <v>2.4043010228E10</v>
      </c>
      <c r="F78" s="5" t="s">
        <v>21</v>
      </c>
      <c r="G78" s="5" t="s">
        <v>179</v>
      </c>
      <c r="H78" s="5">
        <v>6.282337297176E12</v>
      </c>
      <c r="I78" s="5">
        <v>20.0</v>
      </c>
      <c r="J78" s="5" t="s">
        <v>96</v>
      </c>
      <c r="K78" s="5">
        <v>6.0</v>
      </c>
      <c r="L78" s="5">
        <v>6.0</v>
      </c>
      <c r="M78" s="5" t="s">
        <v>49</v>
      </c>
      <c r="N78" s="5" t="s">
        <v>25</v>
      </c>
      <c r="O78" s="5" t="s">
        <v>26</v>
      </c>
      <c r="P78" s="5">
        <v>1.0</v>
      </c>
      <c r="Q78" s="5">
        <v>5.0</v>
      </c>
      <c r="R78" s="5">
        <v>3.0</v>
      </c>
      <c r="V78" s="7"/>
    </row>
    <row r="79" ht="22.5" customHeight="1">
      <c r="A79" s="4">
        <v>45911.46556361111</v>
      </c>
      <c r="B79" s="5" t="s">
        <v>203</v>
      </c>
      <c r="C79" s="5" t="s">
        <v>19</v>
      </c>
      <c r="D79" s="5" t="s">
        <v>204</v>
      </c>
      <c r="E79" s="5">
        <v>2.4043010343E10</v>
      </c>
      <c r="F79" s="5" t="s">
        <v>21</v>
      </c>
      <c r="G79" s="5" t="s">
        <v>179</v>
      </c>
      <c r="H79" s="5">
        <v>6.281357795933E12</v>
      </c>
      <c r="I79" s="5">
        <v>5.0</v>
      </c>
      <c r="J79" s="5" t="s">
        <v>34</v>
      </c>
      <c r="K79" s="5">
        <v>4.0</v>
      </c>
      <c r="L79" s="5">
        <v>4.0</v>
      </c>
      <c r="M79" s="5" t="s">
        <v>24</v>
      </c>
      <c r="N79" s="5" t="s">
        <v>25</v>
      </c>
      <c r="O79" s="5" t="s">
        <v>26</v>
      </c>
      <c r="P79" s="5">
        <v>3.0</v>
      </c>
      <c r="Q79" s="5">
        <v>3.0</v>
      </c>
      <c r="R79" s="5">
        <v>1.0</v>
      </c>
      <c r="V79" s="7"/>
    </row>
    <row r="80" ht="22.5" customHeight="1">
      <c r="A80" s="4">
        <v>45911.465711516204</v>
      </c>
      <c r="B80" s="5" t="s">
        <v>205</v>
      </c>
      <c r="C80" s="5" t="s">
        <v>19</v>
      </c>
      <c r="D80" s="5" t="s">
        <v>206</v>
      </c>
      <c r="E80" s="5">
        <v>2.4034010083E10</v>
      </c>
      <c r="F80" s="5" t="s">
        <v>21</v>
      </c>
      <c r="G80" s="5" t="s">
        <v>179</v>
      </c>
      <c r="H80" s="5">
        <v>6.28214218101E12</v>
      </c>
      <c r="I80" s="5">
        <v>5.0</v>
      </c>
      <c r="J80" s="5" t="s">
        <v>34</v>
      </c>
      <c r="K80" s="5">
        <v>4.0</v>
      </c>
      <c r="L80" s="5">
        <v>4.0</v>
      </c>
      <c r="M80" s="5" t="s">
        <v>49</v>
      </c>
      <c r="N80" s="5" t="s">
        <v>25</v>
      </c>
      <c r="O80" s="5" t="s">
        <v>26</v>
      </c>
      <c r="P80" s="5">
        <v>4.0</v>
      </c>
      <c r="Q80" s="5">
        <v>5.0</v>
      </c>
      <c r="R80" s="5">
        <v>2.0</v>
      </c>
      <c r="V80" s="7"/>
    </row>
    <row r="81" ht="22.5" customHeight="1">
      <c r="A81" s="4">
        <v>45911.465746145834</v>
      </c>
      <c r="B81" s="5" t="s">
        <v>207</v>
      </c>
      <c r="C81" s="5" t="s">
        <v>19</v>
      </c>
      <c r="D81" s="5" t="s">
        <v>208</v>
      </c>
      <c r="E81" s="5">
        <v>2.4043010203E10</v>
      </c>
      <c r="F81" s="5" t="s">
        <v>21</v>
      </c>
      <c r="G81" s="5" t="s">
        <v>179</v>
      </c>
      <c r="H81" s="5">
        <v>6.281387050669E12</v>
      </c>
      <c r="I81" s="5">
        <v>5.0</v>
      </c>
      <c r="J81" s="5" t="s">
        <v>96</v>
      </c>
      <c r="K81" s="5">
        <v>5.0</v>
      </c>
      <c r="L81" s="5">
        <v>3.0</v>
      </c>
      <c r="M81" s="5" t="s">
        <v>49</v>
      </c>
      <c r="N81" s="5" t="s">
        <v>25</v>
      </c>
      <c r="O81" s="5" t="s">
        <v>26</v>
      </c>
      <c r="P81" s="5">
        <v>4.0</v>
      </c>
      <c r="Q81" s="5">
        <v>4.0</v>
      </c>
      <c r="R81" s="5">
        <v>5.0</v>
      </c>
      <c r="V81" s="7"/>
    </row>
    <row r="82" ht="22.5" customHeight="1">
      <c r="A82" s="4">
        <v>45911.46575783565</v>
      </c>
      <c r="B82" s="5" t="s">
        <v>209</v>
      </c>
      <c r="C82" s="5" t="s">
        <v>19</v>
      </c>
      <c r="D82" s="5" t="s">
        <v>210</v>
      </c>
      <c r="E82" s="5">
        <v>2.4043010063E10</v>
      </c>
      <c r="F82" s="5" t="s">
        <v>21</v>
      </c>
      <c r="G82" s="5" t="s">
        <v>179</v>
      </c>
      <c r="H82" s="5">
        <v>6.282233400435E12</v>
      </c>
      <c r="I82" s="5">
        <v>15.0</v>
      </c>
      <c r="J82" s="5" t="s">
        <v>96</v>
      </c>
      <c r="K82" s="5">
        <v>5.0</v>
      </c>
      <c r="L82" s="5">
        <v>6.0</v>
      </c>
      <c r="M82" s="5" t="s">
        <v>49</v>
      </c>
      <c r="N82" s="5" t="s">
        <v>25</v>
      </c>
      <c r="O82" s="5" t="s">
        <v>26</v>
      </c>
      <c r="P82" s="5">
        <v>5.0</v>
      </c>
      <c r="Q82" s="5">
        <v>5.0</v>
      </c>
      <c r="R82" s="5">
        <v>4.0</v>
      </c>
      <c r="V82" s="7"/>
    </row>
    <row r="83" ht="22.5" customHeight="1">
      <c r="A83" s="4">
        <v>45911.62423798611</v>
      </c>
      <c r="B83" s="5" t="s">
        <v>211</v>
      </c>
      <c r="C83" s="5" t="s">
        <v>19</v>
      </c>
      <c r="D83" s="5" t="s">
        <v>212</v>
      </c>
      <c r="E83" s="5">
        <v>2.404301014E10</v>
      </c>
      <c r="F83" s="5" t="s">
        <v>21</v>
      </c>
      <c r="G83" s="5" t="s">
        <v>179</v>
      </c>
      <c r="H83" s="5">
        <v>6.289616708885E12</v>
      </c>
      <c r="I83" s="5">
        <v>2.0</v>
      </c>
      <c r="J83" s="5" t="s">
        <v>196</v>
      </c>
      <c r="K83" s="5">
        <v>2.0</v>
      </c>
      <c r="L83" s="5">
        <v>0.0</v>
      </c>
      <c r="M83" s="5" t="s">
        <v>24</v>
      </c>
      <c r="N83" s="5" t="s">
        <v>25</v>
      </c>
      <c r="O83" s="5" t="s">
        <v>29</v>
      </c>
      <c r="P83" s="5">
        <v>2.0</v>
      </c>
      <c r="Q83" s="5">
        <v>4.0</v>
      </c>
      <c r="R83" s="5">
        <v>2.0</v>
      </c>
      <c r="V83" s="7"/>
    </row>
    <row r="84" ht="22.5" customHeight="1">
      <c r="A84" s="4">
        <v>45912.41473795139</v>
      </c>
      <c r="B84" s="5" t="s">
        <v>213</v>
      </c>
      <c r="C84" s="5" t="s">
        <v>19</v>
      </c>
      <c r="D84" s="5" t="s">
        <v>214</v>
      </c>
      <c r="E84" s="5">
        <v>2.2043010196E10</v>
      </c>
      <c r="F84" s="5" t="s">
        <v>21</v>
      </c>
      <c r="G84" s="5" t="s">
        <v>179</v>
      </c>
      <c r="H84" s="5">
        <v>6.28554902327E12</v>
      </c>
      <c r="I84" s="5">
        <v>7.0</v>
      </c>
      <c r="J84" s="5" t="s">
        <v>23</v>
      </c>
      <c r="K84" s="5">
        <v>5.0</v>
      </c>
      <c r="L84" s="5">
        <v>4.0</v>
      </c>
      <c r="M84" s="5" t="s">
        <v>49</v>
      </c>
      <c r="N84" s="5" t="s">
        <v>25</v>
      </c>
      <c r="O84" s="5" t="s">
        <v>35</v>
      </c>
      <c r="P84" s="5">
        <v>4.0</v>
      </c>
      <c r="Q84" s="5">
        <v>2.0</v>
      </c>
      <c r="R84" s="5">
        <v>6.0</v>
      </c>
      <c r="V84" s="7"/>
    </row>
    <row r="85" ht="22.5" customHeight="1">
      <c r="A85" s="4">
        <v>45912.41490631945</v>
      </c>
      <c r="B85" s="5" t="s">
        <v>215</v>
      </c>
      <c r="C85" s="5" t="s">
        <v>19</v>
      </c>
      <c r="D85" s="5" t="s">
        <v>216</v>
      </c>
      <c r="E85" s="5">
        <v>2.2043010188E10</v>
      </c>
      <c r="F85" s="5" t="s">
        <v>21</v>
      </c>
      <c r="G85" s="5" t="s">
        <v>179</v>
      </c>
      <c r="H85" s="5">
        <v>6.289523419901E12</v>
      </c>
      <c r="I85" s="5">
        <v>7.0</v>
      </c>
      <c r="J85" s="5" t="s">
        <v>23</v>
      </c>
      <c r="K85" s="5">
        <v>7.0</v>
      </c>
      <c r="L85" s="5">
        <v>5.0</v>
      </c>
      <c r="M85" s="5" t="s">
        <v>24</v>
      </c>
      <c r="N85" s="5" t="s">
        <v>25</v>
      </c>
      <c r="O85" s="5" t="s">
        <v>35</v>
      </c>
      <c r="P85" s="5">
        <v>3.0</v>
      </c>
      <c r="Q85" s="5">
        <v>2.0</v>
      </c>
      <c r="R85" s="5">
        <v>9.0</v>
      </c>
      <c r="V85" s="7"/>
    </row>
    <row r="86" ht="22.5" customHeight="1">
      <c r="A86" s="4">
        <v>45912.41493827546</v>
      </c>
      <c r="B86" s="5" t="s">
        <v>217</v>
      </c>
      <c r="C86" s="5" t="s">
        <v>19</v>
      </c>
      <c r="D86" s="5" t="s">
        <v>218</v>
      </c>
      <c r="E86" s="5">
        <v>2.2043010213E10</v>
      </c>
      <c r="F86" s="5" t="s">
        <v>21</v>
      </c>
      <c r="G86" s="5" t="s">
        <v>179</v>
      </c>
      <c r="H86" s="5">
        <v>6.289687231599E12</v>
      </c>
      <c r="I86" s="5">
        <v>7.0</v>
      </c>
      <c r="J86" s="5" t="s">
        <v>23</v>
      </c>
      <c r="K86" s="5">
        <v>5.0</v>
      </c>
      <c r="L86" s="5">
        <v>5.0</v>
      </c>
      <c r="M86" s="5" t="s">
        <v>46</v>
      </c>
      <c r="N86" s="5" t="s">
        <v>25</v>
      </c>
      <c r="O86" s="5" t="s">
        <v>26</v>
      </c>
      <c r="P86" s="5">
        <v>5.0</v>
      </c>
      <c r="Q86" s="5">
        <v>3.0</v>
      </c>
      <c r="R86" s="5">
        <v>7.0</v>
      </c>
      <c r="V86" s="7"/>
    </row>
    <row r="87" ht="22.5" customHeight="1">
      <c r="A87" s="4">
        <v>45912.41495666667</v>
      </c>
      <c r="B87" s="5" t="s">
        <v>219</v>
      </c>
      <c r="C87" s="5" t="s">
        <v>19</v>
      </c>
      <c r="D87" s="5" t="s">
        <v>220</v>
      </c>
      <c r="E87" s="5">
        <v>2.2043010199E10</v>
      </c>
      <c r="F87" s="5" t="s">
        <v>21</v>
      </c>
      <c r="G87" s="5" t="s">
        <v>179</v>
      </c>
      <c r="H87" s="5">
        <v>6.285815245501E12</v>
      </c>
      <c r="I87" s="5">
        <v>7.0</v>
      </c>
      <c r="J87" s="5" t="s">
        <v>23</v>
      </c>
      <c r="K87" s="5">
        <v>5.0</v>
      </c>
      <c r="L87" s="5">
        <v>5.0</v>
      </c>
      <c r="M87" s="5" t="s">
        <v>46</v>
      </c>
      <c r="N87" s="5" t="s">
        <v>25</v>
      </c>
      <c r="O87" s="5" t="s">
        <v>29</v>
      </c>
      <c r="P87" s="5">
        <v>4.0</v>
      </c>
      <c r="Q87" s="5">
        <v>4.0</v>
      </c>
      <c r="R87" s="5">
        <v>7.0</v>
      </c>
      <c r="V87" s="7"/>
    </row>
    <row r="88" ht="22.5" customHeight="1">
      <c r="A88" s="4">
        <v>45912.41534230324</v>
      </c>
      <c r="B88" s="5" t="s">
        <v>221</v>
      </c>
      <c r="C88" s="5" t="s">
        <v>19</v>
      </c>
      <c r="D88" s="5" t="s">
        <v>222</v>
      </c>
      <c r="E88" s="5">
        <v>2.2043010201E10</v>
      </c>
      <c r="F88" s="5" t="s">
        <v>21</v>
      </c>
      <c r="G88" s="5" t="s">
        <v>179</v>
      </c>
      <c r="H88" s="5">
        <v>6.288228553473E12</v>
      </c>
      <c r="I88" s="5">
        <v>7.0</v>
      </c>
      <c r="J88" s="5" t="s">
        <v>23</v>
      </c>
      <c r="K88" s="5">
        <v>5.0</v>
      </c>
      <c r="L88" s="5">
        <v>3.0</v>
      </c>
      <c r="M88" s="5" t="s">
        <v>46</v>
      </c>
      <c r="N88" s="5" t="s">
        <v>25</v>
      </c>
      <c r="O88" s="5" t="s">
        <v>35</v>
      </c>
      <c r="P88" s="5">
        <v>3.0</v>
      </c>
      <c r="Q88" s="5">
        <v>4.0</v>
      </c>
      <c r="R88" s="5">
        <v>3.0</v>
      </c>
      <c r="V88" s="7"/>
    </row>
    <row r="89" ht="22.5" customHeight="1">
      <c r="A89" s="4">
        <v>45912.41608465278</v>
      </c>
      <c r="B89" s="5" t="s">
        <v>223</v>
      </c>
      <c r="C89" s="5" t="s">
        <v>19</v>
      </c>
      <c r="D89" s="5" t="s">
        <v>224</v>
      </c>
      <c r="E89" s="5">
        <v>2.2043010251E10</v>
      </c>
      <c r="F89" s="5" t="s">
        <v>21</v>
      </c>
      <c r="G89" s="5" t="s">
        <v>179</v>
      </c>
      <c r="H89" s="5">
        <v>6.28133435344E12</v>
      </c>
      <c r="I89" s="5">
        <v>7.0</v>
      </c>
      <c r="J89" s="5" t="s">
        <v>34</v>
      </c>
      <c r="K89" s="5">
        <v>5.0</v>
      </c>
      <c r="L89" s="5">
        <v>5.0</v>
      </c>
      <c r="M89" s="5" t="s">
        <v>49</v>
      </c>
      <c r="N89" s="5" t="s">
        <v>25</v>
      </c>
      <c r="O89" s="5" t="s">
        <v>26</v>
      </c>
      <c r="P89" s="5">
        <v>5.0</v>
      </c>
      <c r="Q89" s="5">
        <v>5.0</v>
      </c>
      <c r="R89" s="5">
        <v>7.0</v>
      </c>
      <c r="V89" s="7"/>
    </row>
    <row r="90" ht="22.5" customHeight="1">
      <c r="A90" s="4">
        <v>45912.43084166667</v>
      </c>
      <c r="B90" s="5" t="s">
        <v>225</v>
      </c>
      <c r="C90" s="5" t="s">
        <v>19</v>
      </c>
      <c r="D90" s="5" t="s">
        <v>226</v>
      </c>
      <c r="E90" s="5">
        <v>2.5043010053E10</v>
      </c>
      <c r="F90" s="5" t="s">
        <v>21</v>
      </c>
      <c r="G90" s="5" t="s">
        <v>179</v>
      </c>
      <c r="H90" s="5">
        <v>6.285655158661E12</v>
      </c>
      <c r="I90" s="5">
        <v>2.0</v>
      </c>
      <c r="J90" s="5" t="s">
        <v>34</v>
      </c>
      <c r="K90" s="5">
        <v>6.0</v>
      </c>
      <c r="L90" s="5">
        <v>5.0</v>
      </c>
      <c r="M90" s="5" t="s">
        <v>24</v>
      </c>
      <c r="N90" s="5" t="s">
        <v>25</v>
      </c>
      <c r="O90" s="5" t="s">
        <v>26</v>
      </c>
      <c r="P90" s="5">
        <v>5.0</v>
      </c>
      <c r="Q90" s="5">
        <v>5.0</v>
      </c>
      <c r="R90" s="5">
        <v>4.0</v>
      </c>
      <c r="V90" s="7"/>
    </row>
    <row r="91" ht="22.5" customHeight="1">
      <c r="A91" s="4">
        <v>45912.43146237268</v>
      </c>
      <c r="B91" s="5" t="s">
        <v>227</v>
      </c>
      <c r="C91" s="5" t="s">
        <v>19</v>
      </c>
      <c r="D91" s="5" t="s">
        <v>228</v>
      </c>
      <c r="E91" s="5">
        <v>2.5043010056E10</v>
      </c>
      <c r="F91" s="5" t="s">
        <v>21</v>
      </c>
      <c r="G91" s="5" t="s">
        <v>179</v>
      </c>
      <c r="H91" s="5">
        <v>6.28572542992E11</v>
      </c>
      <c r="I91" s="5">
        <v>3.0</v>
      </c>
      <c r="J91" s="5" t="s">
        <v>23</v>
      </c>
      <c r="K91" s="5">
        <v>4.0</v>
      </c>
      <c r="L91" s="5">
        <v>2.0</v>
      </c>
      <c r="M91" s="5" t="s">
        <v>64</v>
      </c>
      <c r="N91" s="5" t="s">
        <v>25</v>
      </c>
      <c r="O91" s="5" t="s">
        <v>29</v>
      </c>
      <c r="P91" s="5">
        <v>4.0</v>
      </c>
      <c r="Q91" s="5">
        <v>4.0</v>
      </c>
      <c r="R91" s="5">
        <v>3.0</v>
      </c>
      <c r="V91" s="7"/>
    </row>
    <row r="92" ht="22.5" customHeight="1">
      <c r="A92" s="4">
        <v>45912.43146633102</v>
      </c>
      <c r="B92" s="5" t="s">
        <v>229</v>
      </c>
      <c r="C92" s="5" t="s">
        <v>19</v>
      </c>
      <c r="D92" s="5" t="s">
        <v>230</v>
      </c>
      <c r="E92" s="5">
        <v>2.504301004E10</v>
      </c>
      <c r="F92" s="5" t="s">
        <v>21</v>
      </c>
      <c r="G92" s="5" t="s">
        <v>179</v>
      </c>
      <c r="H92" s="5">
        <v>6.285730665761E12</v>
      </c>
      <c r="I92" s="5">
        <v>2.0</v>
      </c>
      <c r="J92" s="5" t="s">
        <v>23</v>
      </c>
      <c r="K92" s="5">
        <v>5.0</v>
      </c>
      <c r="L92" s="5">
        <v>1.0</v>
      </c>
      <c r="M92" s="5" t="s">
        <v>46</v>
      </c>
      <c r="N92" s="5" t="s">
        <v>25</v>
      </c>
      <c r="O92" s="5" t="s">
        <v>35</v>
      </c>
      <c r="P92" s="5">
        <v>2.0</v>
      </c>
      <c r="Q92" s="5">
        <v>2.0</v>
      </c>
      <c r="R92" s="5">
        <v>5.0</v>
      </c>
      <c r="V92" s="7"/>
    </row>
    <row r="93" ht="22.5" customHeight="1">
      <c r="A93" s="4">
        <v>45912.43149074074</v>
      </c>
      <c r="B93" s="5" t="s">
        <v>231</v>
      </c>
      <c r="C93" s="5" t="s">
        <v>19</v>
      </c>
      <c r="D93" s="5" t="s">
        <v>232</v>
      </c>
      <c r="E93" s="5">
        <v>2.5043010043E10</v>
      </c>
      <c r="F93" s="5" t="s">
        <v>21</v>
      </c>
      <c r="G93" s="5" t="s">
        <v>179</v>
      </c>
      <c r="H93" s="5">
        <v>6.285815954309E12</v>
      </c>
      <c r="I93" s="5">
        <v>4.0</v>
      </c>
      <c r="J93" s="5" t="s">
        <v>23</v>
      </c>
      <c r="K93" s="5">
        <v>3.0</v>
      </c>
      <c r="L93" s="5">
        <v>2.0</v>
      </c>
      <c r="M93" s="5" t="s">
        <v>49</v>
      </c>
      <c r="N93" s="5" t="s">
        <v>25</v>
      </c>
      <c r="O93" s="5" t="s">
        <v>26</v>
      </c>
      <c r="P93" s="5">
        <v>4.0</v>
      </c>
      <c r="Q93" s="5">
        <v>4.0</v>
      </c>
      <c r="R93" s="5">
        <v>4.0</v>
      </c>
      <c r="V93" s="7"/>
    </row>
    <row r="94" ht="22.5" customHeight="1">
      <c r="A94" s="4">
        <v>45912.43190027778</v>
      </c>
      <c r="B94" s="5" t="s">
        <v>233</v>
      </c>
      <c r="C94" s="5" t="s">
        <v>19</v>
      </c>
      <c r="D94" s="5" t="s">
        <v>234</v>
      </c>
      <c r="E94" s="5">
        <v>2.5043010032E10</v>
      </c>
      <c r="F94" s="5" t="s">
        <v>21</v>
      </c>
      <c r="G94" s="5" t="s">
        <v>179</v>
      </c>
      <c r="H94" s="5">
        <v>6.285808734542E12</v>
      </c>
      <c r="I94" s="5">
        <v>2.0</v>
      </c>
      <c r="J94" s="5" t="s">
        <v>34</v>
      </c>
      <c r="K94" s="5">
        <v>5.0</v>
      </c>
      <c r="L94" s="5">
        <v>7.0</v>
      </c>
      <c r="M94" s="5" t="s">
        <v>64</v>
      </c>
      <c r="N94" s="5" t="s">
        <v>25</v>
      </c>
      <c r="O94" s="5" t="s">
        <v>35</v>
      </c>
      <c r="P94" s="5">
        <v>4.0</v>
      </c>
      <c r="Q94" s="5">
        <v>5.0</v>
      </c>
      <c r="R94" s="5">
        <v>5.0</v>
      </c>
      <c r="V94" s="7"/>
    </row>
    <row r="95" ht="22.5" customHeight="1">
      <c r="A95" s="4">
        <v>45912.90707188657</v>
      </c>
      <c r="B95" s="5" t="s">
        <v>235</v>
      </c>
      <c r="C95" s="5" t="s">
        <v>19</v>
      </c>
      <c r="D95" s="5" t="s">
        <v>236</v>
      </c>
      <c r="E95" s="5">
        <v>2.4043010281E10</v>
      </c>
      <c r="F95" s="5" t="s">
        <v>21</v>
      </c>
      <c r="G95" s="5" t="s">
        <v>179</v>
      </c>
      <c r="H95" s="5">
        <v>6.281515496802E12</v>
      </c>
      <c r="I95" s="5">
        <v>8.0</v>
      </c>
      <c r="J95" s="5" t="s">
        <v>23</v>
      </c>
      <c r="K95" s="5">
        <v>5.0</v>
      </c>
      <c r="L95" s="5">
        <v>4.0</v>
      </c>
      <c r="M95" s="5" t="s">
        <v>49</v>
      </c>
      <c r="N95" s="5" t="s">
        <v>25</v>
      </c>
      <c r="O95" s="5" t="s">
        <v>26</v>
      </c>
      <c r="P95" s="5">
        <v>2.0</v>
      </c>
      <c r="Q95" s="5">
        <v>1.0</v>
      </c>
      <c r="R95" s="5">
        <v>2.0</v>
      </c>
      <c r="V95" s="7"/>
    </row>
    <row r="96" ht="22.5" customHeight="1">
      <c r="A96" s="4">
        <v>45916.01322641203</v>
      </c>
      <c r="B96" s="5" t="s">
        <v>237</v>
      </c>
      <c r="C96" s="5" t="s">
        <v>19</v>
      </c>
      <c r="D96" s="5" t="s">
        <v>238</v>
      </c>
      <c r="E96" s="5">
        <v>2.4043010062E10</v>
      </c>
      <c r="F96" s="5" t="s">
        <v>21</v>
      </c>
      <c r="G96" s="5" t="s">
        <v>179</v>
      </c>
      <c r="H96" s="5">
        <v>6.285655971853E12</v>
      </c>
      <c r="I96" s="5">
        <v>15.0</v>
      </c>
      <c r="J96" s="5" t="s">
        <v>23</v>
      </c>
      <c r="K96" s="5">
        <v>4.0</v>
      </c>
      <c r="L96" s="5">
        <v>4.0</v>
      </c>
      <c r="M96" s="5" t="s">
        <v>49</v>
      </c>
      <c r="N96" s="5" t="s">
        <v>25</v>
      </c>
      <c r="O96" s="5" t="s">
        <v>35</v>
      </c>
      <c r="P96" s="5">
        <v>4.0</v>
      </c>
      <c r="Q96" s="5">
        <v>3.0</v>
      </c>
      <c r="R96" s="5">
        <v>2.0</v>
      </c>
      <c r="V96" s="7"/>
    </row>
    <row r="97" ht="22.5" customHeight="1">
      <c r="A97" s="4">
        <v>45910.41289644676</v>
      </c>
      <c r="B97" s="5" t="s">
        <v>239</v>
      </c>
      <c r="C97" s="5" t="s">
        <v>19</v>
      </c>
      <c r="D97" s="5" t="s">
        <v>240</v>
      </c>
      <c r="E97" s="5">
        <v>2.4081010258E10</v>
      </c>
      <c r="F97" s="5" t="s">
        <v>150</v>
      </c>
      <c r="G97" s="5" t="s">
        <v>241</v>
      </c>
      <c r="H97" s="5">
        <v>6.285334136352E12</v>
      </c>
      <c r="I97" s="6">
        <v>7.0</v>
      </c>
      <c r="J97" s="5" t="s">
        <v>23</v>
      </c>
      <c r="K97" s="6">
        <v>4.0</v>
      </c>
      <c r="L97" s="6">
        <v>3.0</v>
      </c>
      <c r="M97" s="5" t="s">
        <v>24</v>
      </c>
      <c r="N97" s="5" t="s">
        <v>25</v>
      </c>
      <c r="O97" s="5" t="s">
        <v>29</v>
      </c>
      <c r="P97" s="6">
        <v>3.0</v>
      </c>
      <c r="Q97" s="6">
        <v>2.0</v>
      </c>
      <c r="R97" s="6">
        <v>4.0</v>
      </c>
      <c r="V97" s="7"/>
    </row>
    <row r="98" ht="22.5" customHeight="1">
      <c r="A98" s="4">
        <v>45910.41323666667</v>
      </c>
      <c r="B98" s="5" t="s">
        <v>242</v>
      </c>
      <c r="C98" s="5" t="s">
        <v>19</v>
      </c>
      <c r="D98" s="5" t="s">
        <v>243</v>
      </c>
      <c r="E98" s="5">
        <v>2.4081010244E10</v>
      </c>
      <c r="F98" s="5" t="s">
        <v>150</v>
      </c>
      <c r="G98" s="5" t="s">
        <v>241</v>
      </c>
      <c r="H98" s="5">
        <v>6.285895870051E12</v>
      </c>
      <c r="I98" s="6">
        <v>7.0</v>
      </c>
      <c r="J98" s="5" t="s">
        <v>23</v>
      </c>
      <c r="K98" s="6">
        <v>4.0</v>
      </c>
      <c r="L98" s="6">
        <v>4.0</v>
      </c>
      <c r="M98" s="5" t="s">
        <v>24</v>
      </c>
      <c r="N98" s="5" t="s">
        <v>25</v>
      </c>
      <c r="O98" s="5" t="s">
        <v>29</v>
      </c>
      <c r="P98" s="6">
        <v>3.0</v>
      </c>
      <c r="Q98" s="6">
        <v>3.0</v>
      </c>
      <c r="R98" s="6">
        <v>4.0</v>
      </c>
      <c r="V98" s="7"/>
    </row>
    <row r="99" ht="22.5" customHeight="1">
      <c r="A99" s="4">
        <v>45910.425002013886</v>
      </c>
      <c r="B99" s="5" t="s">
        <v>244</v>
      </c>
      <c r="C99" s="5" t="s">
        <v>19</v>
      </c>
      <c r="D99" s="5" t="s">
        <v>245</v>
      </c>
      <c r="E99" s="5">
        <v>2.3081010033E10</v>
      </c>
      <c r="F99" s="5" t="s">
        <v>150</v>
      </c>
      <c r="G99" s="5" t="s">
        <v>241</v>
      </c>
      <c r="H99" s="5">
        <v>6.281917710313E12</v>
      </c>
      <c r="I99" s="6">
        <v>3.0</v>
      </c>
      <c r="J99" s="5" t="s">
        <v>96</v>
      </c>
      <c r="K99" s="6">
        <v>3.0</v>
      </c>
      <c r="L99" s="6">
        <v>0.0</v>
      </c>
      <c r="M99" s="5" t="s">
        <v>49</v>
      </c>
      <c r="N99" s="5" t="s">
        <v>25</v>
      </c>
      <c r="O99" s="5" t="s">
        <v>26</v>
      </c>
      <c r="P99" s="6">
        <v>2.0</v>
      </c>
      <c r="Q99" s="6">
        <v>1.0</v>
      </c>
      <c r="R99" s="6">
        <v>0.0</v>
      </c>
      <c r="V99" s="7"/>
    </row>
    <row r="100" ht="22.5" customHeight="1">
      <c r="A100" s="4">
        <v>45910.46348857639</v>
      </c>
      <c r="B100" s="5" t="s">
        <v>246</v>
      </c>
      <c r="C100" s="5" t="s">
        <v>19</v>
      </c>
      <c r="D100" s="5" t="s">
        <v>247</v>
      </c>
      <c r="E100" s="5">
        <v>2.3081010244E10</v>
      </c>
      <c r="F100" s="5" t="s">
        <v>150</v>
      </c>
      <c r="G100" s="5" t="s">
        <v>241</v>
      </c>
      <c r="H100" s="5">
        <v>6.283849205759E12</v>
      </c>
      <c r="I100" s="6">
        <v>10.0</v>
      </c>
      <c r="J100" s="5" t="s">
        <v>23</v>
      </c>
      <c r="K100" s="6">
        <v>5.0</v>
      </c>
      <c r="L100" s="6">
        <v>1.0</v>
      </c>
      <c r="M100" s="5" t="s">
        <v>24</v>
      </c>
      <c r="N100" s="5" t="s">
        <v>25</v>
      </c>
      <c r="O100" s="5" t="s">
        <v>26</v>
      </c>
      <c r="P100" s="6">
        <v>1.0</v>
      </c>
      <c r="Q100" s="6">
        <v>1.0</v>
      </c>
      <c r="R100" s="6">
        <v>2.0</v>
      </c>
      <c r="V100" s="7"/>
    </row>
    <row r="101" ht="22.5" customHeight="1">
      <c r="A101" s="4">
        <v>45910.59349759259</v>
      </c>
      <c r="B101" s="5" t="s">
        <v>248</v>
      </c>
      <c r="C101" s="5" t="s">
        <v>19</v>
      </c>
      <c r="D101" s="5" t="s">
        <v>249</v>
      </c>
      <c r="E101" s="5">
        <v>2.4081010023E10</v>
      </c>
      <c r="F101" s="5" t="s">
        <v>150</v>
      </c>
      <c r="G101" s="5" t="s">
        <v>241</v>
      </c>
      <c r="H101" s="5">
        <v>6.285704104688E12</v>
      </c>
      <c r="I101" s="6">
        <v>5.0</v>
      </c>
      <c r="J101" s="5" t="s">
        <v>96</v>
      </c>
      <c r="K101" s="6">
        <v>7.0</v>
      </c>
      <c r="L101" s="6">
        <v>10.0</v>
      </c>
      <c r="M101" s="5" t="s">
        <v>64</v>
      </c>
      <c r="N101" s="5" t="s">
        <v>25</v>
      </c>
      <c r="O101" s="5" t="s">
        <v>26</v>
      </c>
      <c r="P101" s="6">
        <v>5.0</v>
      </c>
      <c r="Q101" s="6">
        <v>5.0</v>
      </c>
      <c r="R101" s="6">
        <v>7.0</v>
      </c>
      <c r="V101" s="7"/>
    </row>
    <row r="102" ht="22.5" customHeight="1">
      <c r="A102" s="4">
        <v>45910.78341121528</v>
      </c>
      <c r="B102" s="5" t="s">
        <v>250</v>
      </c>
      <c r="C102" s="5" t="s">
        <v>19</v>
      </c>
      <c r="D102" s="5" t="s">
        <v>251</v>
      </c>
      <c r="E102" s="5">
        <v>2.5081010071E10</v>
      </c>
      <c r="F102" s="5" t="s">
        <v>150</v>
      </c>
      <c r="G102" s="5" t="s">
        <v>241</v>
      </c>
      <c r="H102" s="5">
        <v>6.282340526729E12</v>
      </c>
      <c r="I102" s="6">
        <v>1.0</v>
      </c>
      <c r="J102" s="5" t="s">
        <v>23</v>
      </c>
      <c r="K102" s="6">
        <v>3.0</v>
      </c>
      <c r="L102" s="6">
        <v>2.0</v>
      </c>
      <c r="M102" s="5" t="s">
        <v>24</v>
      </c>
      <c r="N102" s="5" t="s">
        <v>25</v>
      </c>
      <c r="O102" s="5" t="s">
        <v>26</v>
      </c>
      <c r="P102" s="6">
        <v>5.0</v>
      </c>
      <c r="Q102" s="6">
        <v>5.0</v>
      </c>
      <c r="R102" s="6">
        <v>2.0</v>
      </c>
      <c r="V102" s="7"/>
    </row>
    <row r="103" ht="22.5" customHeight="1">
      <c r="A103" s="4">
        <v>45911.43136820602</v>
      </c>
      <c r="B103" s="5" t="s">
        <v>252</v>
      </c>
      <c r="C103" s="5" t="s">
        <v>19</v>
      </c>
      <c r="D103" s="5" t="s">
        <v>253</v>
      </c>
      <c r="E103" s="5">
        <v>2.5081010298E10</v>
      </c>
      <c r="F103" s="5" t="s">
        <v>150</v>
      </c>
      <c r="G103" s="5" t="s">
        <v>241</v>
      </c>
      <c r="H103" s="5">
        <v>6.285707091884E12</v>
      </c>
      <c r="I103" s="5">
        <v>5.0</v>
      </c>
      <c r="J103" s="5" t="s">
        <v>96</v>
      </c>
      <c r="K103" s="5">
        <v>3.0</v>
      </c>
      <c r="L103" s="5">
        <v>2.0</v>
      </c>
      <c r="M103" s="5" t="s">
        <v>46</v>
      </c>
      <c r="N103" s="5" t="s">
        <v>25</v>
      </c>
      <c r="O103" s="5" t="s">
        <v>26</v>
      </c>
      <c r="P103" s="5">
        <v>5.0</v>
      </c>
      <c r="Q103" s="5">
        <v>5.0</v>
      </c>
      <c r="R103" s="5">
        <v>1.0</v>
      </c>
      <c r="V103" s="7"/>
    </row>
    <row r="104" ht="22.5" customHeight="1">
      <c r="A104" s="4">
        <v>45911.81088096065</v>
      </c>
      <c r="B104" s="5" t="s">
        <v>254</v>
      </c>
      <c r="C104" s="5" t="s">
        <v>19</v>
      </c>
      <c r="D104" s="5" t="s">
        <v>255</v>
      </c>
      <c r="E104" s="5">
        <v>2.3081010155E10</v>
      </c>
      <c r="F104" s="5" t="s">
        <v>150</v>
      </c>
      <c r="G104" s="5" t="s">
        <v>241</v>
      </c>
      <c r="H104" s="5">
        <v>6.285230366094E12</v>
      </c>
      <c r="I104" s="5">
        <v>5.0</v>
      </c>
      <c r="J104" s="5" t="s">
        <v>23</v>
      </c>
      <c r="K104" s="5">
        <v>5.0</v>
      </c>
      <c r="L104" s="5">
        <v>5.0</v>
      </c>
      <c r="M104" s="5" t="s">
        <v>49</v>
      </c>
      <c r="N104" s="5" t="s">
        <v>25</v>
      </c>
      <c r="O104" s="5" t="s">
        <v>26</v>
      </c>
      <c r="P104" s="5">
        <v>5.0</v>
      </c>
      <c r="Q104" s="5">
        <v>5.0</v>
      </c>
      <c r="R104" s="5">
        <v>2.0</v>
      </c>
      <c r="V104" s="7"/>
    </row>
    <row r="105" ht="22.5" customHeight="1">
      <c r="A105" s="4">
        <v>45911.8455384375</v>
      </c>
      <c r="B105" s="5" t="s">
        <v>256</v>
      </c>
      <c r="C105" s="5" t="s">
        <v>19</v>
      </c>
      <c r="D105" s="5" t="s">
        <v>257</v>
      </c>
      <c r="E105" s="5">
        <v>2.2081010195E10</v>
      </c>
      <c r="F105" s="5" t="s">
        <v>150</v>
      </c>
      <c r="G105" s="5" t="s">
        <v>241</v>
      </c>
      <c r="H105" s="5">
        <v>6.28583332455E12</v>
      </c>
      <c r="I105" s="5">
        <v>4.0</v>
      </c>
      <c r="J105" s="5" t="s">
        <v>34</v>
      </c>
      <c r="K105" s="5">
        <v>2.0</v>
      </c>
      <c r="L105" s="5">
        <v>4.0</v>
      </c>
      <c r="M105" s="5" t="s">
        <v>49</v>
      </c>
      <c r="N105" s="5" t="s">
        <v>25</v>
      </c>
      <c r="O105" s="5" t="s">
        <v>26</v>
      </c>
      <c r="P105" s="5">
        <v>5.0</v>
      </c>
      <c r="Q105" s="5">
        <v>5.0</v>
      </c>
      <c r="R105" s="5">
        <v>3.0</v>
      </c>
      <c r="V105" s="7"/>
    </row>
    <row r="106" ht="22.5" customHeight="1">
      <c r="A106" s="4">
        <v>45912.63845585648</v>
      </c>
      <c r="B106" s="5" t="s">
        <v>258</v>
      </c>
      <c r="C106" s="5" t="s">
        <v>19</v>
      </c>
      <c r="D106" s="5" t="s">
        <v>259</v>
      </c>
      <c r="E106" s="5">
        <v>2.4081010328E10</v>
      </c>
      <c r="F106" s="5" t="s">
        <v>150</v>
      </c>
      <c r="G106" s="5" t="s">
        <v>241</v>
      </c>
      <c r="H106" s="5">
        <v>6.281553389237E12</v>
      </c>
      <c r="I106" s="5">
        <v>3.0</v>
      </c>
      <c r="J106" s="5" t="s">
        <v>23</v>
      </c>
      <c r="K106" s="5">
        <v>4.0</v>
      </c>
      <c r="L106" s="5">
        <v>2.0</v>
      </c>
      <c r="M106" s="5" t="s">
        <v>49</v>
      </c>
      <c r="N106" s="5" t="s">
        <v>25</v>
      </c>
      <c r="O106" s="5" t="s">
        <v>26</v>
      </c>
      <c r="P106" s="5">
        <v>5.0</v>
      </c>
      <c r="Q106" s="5">
        <v>5.0</v>
      </c>
      <c r="R106" s="5">
        <v>1.0</v>
      </c>
      <c r="V106" s="7"/>
    </row>
    <row r="107" ht="22.5" customHeight="1">
      <c r="A107" s="4">
        <v>45910.42518125</v>
      </c>
      <c r="B107" s="5" t="s">
        <v>260</v>
      </c>
      <c r="C107" s="5" t="s">
        <v>19</v>
      </c>
      <c r="D107" s="5" t="s">
        <v>261</v>
      </c>
      <c r="E107" s="5">
        <v>2.5012010323E10</v>
      </c>
      <c r="F107" s="5" t="s">
        <v>105</v>
      </c>
      <c r="G107" s="5" t="s">
        <v>262</v>
      </c>
      <c r="H107" s="5">
        <v>6.281259823227E12</v>
      </c>
      <c r="I107" s="6">
        <v>3.0</v>
      </c>
      <c r="J107" s="5" t="s">
        <v>23</v>
      </c>
      <c r="K107" s="6">
        <v>5.0</v>
      </c>
      <c r="L107" s="6">
        <v>3.0</v>
      </c>
      <c r="M107" s="5" t="s">
        <v>49</v>
      </c>
      <c r="N107" s="5" t="s">
        <v>25</v>
      </c>
      <c r="O107" s="5" t="s">
        <v>35</v>
      </c>
      <c r="P107" s="6">
        <v>3.0</v>
      </c>
      <c r="Q107" s="6">
        <v>3.0</v>
      </c>
      <c r="R107" s="6">
        <v>2.0</v>
      </c>
      <c r="V107" s="7"/>
    </row>
    <row r="108" ht="22.5" customHeight="1">
      <c r="A108" s="4">
        <v>45911.83651972222</v>
      </c>
      <c r="B108" s="5" t="s">
        <v>263</v>
      </c>
      <c r="C108" s="5" t="s">
        <v>19</v>
      </c>
      <c r="D108" s="5" t="s">
        <v>264</v>
      </c>
      <c r="E108" s="5">
        <v>2.4012010368E10</v>
      </c>
      <c r="F108" s="5" t="s">
        <v>105</v>
      </c>
      <c r="G108" s="5" t="s">
        <v>262</v>
      </c>
      <c r="H108" s="5">
        <v>6.287850690075E12</v>
      </c>
      <c r="I108" s="5">
        <v>4.0</v>
      </c>
      <c r="J108" s="5" t="s">
        <v>34</v>
      </c>
      <c r="K108" s="5">
        <v>4.0</v>
      </c>
      <c r="L108" s="5">
        <v>4.0</v>
      </c>
      <c r="M108" s="5" t="s">
        <v>49</v>
      </c>
      <c r="N108" s="5" t="s">
        <v>25</v>
      </c>
      <c r="O108" s="5" t="s">
        <v>29</v>
      </c>
      <c r="P108" s="5">
        <v>4.0</v>
      </c>
      <c r="Q108" s="5">
        <v>4.0</v>
      </c>
      <c r="R108" s="5">
        <v>2.0</v>
      </c>
      <c r="V108" s="7"/>
    </row>
    <row r="109" ht="22.5" customHeight="1">
      <c r="A109" s="11">
        <v>45910.41089601852</v>
      </c>
      <c r="B109" s="12" t="s">
        <v>265</v>
      </c>
      <c r="C109" s="12" t="s">
        <v>19</v>
      </c>
      <c r="D109" s="12" t="s">
        <v>266</v>
      </c>
      <c r="E109" s="12">
        <v>2.3083010048E10</v>
      </c>
      <c r="F109" s="12" t="s">
        <v>150</v>
      </c>
      <c r="G109" s="12" t="s">
        <v>267</v>
      </c>
      <c r="H109" s="12">
        <v>6.282264140163E12</v>
      </c>
      <c r="I109" s="13">
        <v>7.0</v>
      </c>
      <c r="J109" s="12" t="s">
        <v>23</v>
      </c>
      <c r="K109" s="13">
        <v>5.0</v>
      </c>
      <c r="L109" s="13">
        <v>5.0</v>
      </c>
      <c r="M109" s="12" t="s">
        <v>64</v>
      </c>
      <c r="N109" s="12" t="s">
        <v>25</v>
      </c>
      <c r="O109" s="12" t="s">
        <v>29</v>
      </c>
      <c r="P109" s="13">
        <v>5.0</v>
      </c>
      <c r="Q109" s="13">
        <v>5.0</v>
      </c>
      <c r="R109" s="13">
        <v>4.0</v>
      </c>
      <c r="V109" s="7"/>
    </row>
    <row r="110" ht="22.5" customHeight="1">
      <c r="A110" s="4">
        <v>45910.41094405093</v>
      </c>
      <c r="B110" s="5" t="s">
        <v>268</v>
      </c>
      <c r="C110" s="5" t="s">
        <v>19</v>
      </c>
      <c r="D110" s="5" t="s">
        <v>269</v>
      </c>
      <c r="E110" s="5">
        <v>2.4083010004E10</v>
      </c>
      <c r="F110" s="5" t="s">
        <v>150</v>
      </c>
      <c r="G110" s="5" t="s">
        <v>267</v>
      </c>
      <c r="H110" s="5">
        <v>6.283837974085E12</v>
      </c>
      <c r="I110" s="6">
        <v>3.0</v>
      </c>
      <c r="J110" s="5" t="s">
        <v>23</v>
      </c>
      <c r="K110" s="6">
        <v>4.0</v>
      </c>
      <c r="L110" s="6">
        <v>2.0</v>
      </c>
      <c r="M110" s="5" t="s">
        <v>46</v>
      </c>
      <c r="N110" s="5" t="s">
        <v>25</v>
      </c>
      <c r="O110" s="5" t="s">
        <v>29</v>
      </c>
      <c r="P110" s="6">
        <v>4.0</v>
      </c>
      <c r="Q110" s="6">
        <v>4.0</v>
      </c>
      <c r="R110" s="6">
        <v>2.0</v>
      </c>
      <c r="V110" s="7"/>
    </row>
    <row r="111" ht="22.5" customHeight="1">
      <c r="A111" s="4">
        <v>45910.411831261576</v>
      </c>
      <c r="B111" s="5" t="s">
        <v>270</v>
      </c>
      <c r="C111" s="5" t="s">
        <v>19</v>
      </c>
      <c r="D111" s="5" t="s">
        <v>271</v>
      </c>
      <c r="E111" s="5">
        <v>2.4083010028E10</v>
      </c>
      <c r="F111" s="5" t="s">
        <v>150</v>
      </c>
      <c r="G111" s="5" t="s">
        <v>267</v>
      </c>
      <c r="H111" s="5">
        <v>6.282131970597E12</v>
      </c>
      <c r="I111" s="6">
        <v>4.0</v>
      </c>
      <c r="J111" s="5" t="s">
        <v>23</v>
      </c>
      <c r="K111" s="6">
        <v>7.0</v>
      </c>
      <c r="L111" s="6">
        <v>6.0</v>
      </c>
      <c r="M111" s="5" t="s">
        <v>24</v>
      </c>
      <c r="N111" s="5" t="s">
        <v>25</v>
      </c>
      <c r="O111" s="5" t="s">
        <v>26</v>
      </c>
      <c r="P111" s="6">
        <v>5.0</v>
      </c>
      <c r="Q111" s="6">
        <v>5.0</v>
      </c>
      <c r="R111" s="6">
        <v>2.0</v>
      </c>
      <c r="V111" s="7"/>
    </row>
    <row r="112" ht="22.5" customHeight="1">
      <c r="A112" s="4">
        <v>45910.41214255787</v>
      </c>
      <c r="B112" s="5" t="s">
        <v>272</v>
      </c>
      <c r="C112" s="5" t="s">
        <v>19</v>
      </c>
      <c r="D112" s="5" t="s">
        <v>273</v>
      </c>
      <c r="E112" s="5">
        <v>2.2083010041E10</v>
      </c>
      <c r="F112" s="5" t="s">
        <v>150</v>
      </c>
      <c r="G112" s="5" t="s">
        <v>267</v>
      </c>
      <c r="H112" s="5">
        <v>6.283839184885E12</v>
      </c>
      <c r="I112" s="6">
        <v>3.0</v>
      </c>
      <c r="J112" s="5" t="s">
        <v>23</v>
      </c>
      <c r="K112" s="6">
        <v>10.0</v>
      </c>
      <c r="L112" s="6">
        <v>5.0</v>
      </c>
      <c r="M112" s="5" t="s">
        <v>49</v>
      </c>
      <c r="N112" s="5" t="s">
        <v>25</v>
      </c>
      <c r="O112" s="5" t="s">
        <v>35</v>
      </c>
      <c r="P112" s="6">
        <v>3.0</v>
      </c>
      <c r="Q112" s="6">
        <v>3.0</v>
      </c>
      <c r="R112" s="6">
        <v>1.0</v>
      </c>
      <c r="V112" s="7"/>
    </row>
    <row r="113" ht="22.5" customHeight="1">
      <c r="A113" s="4">
        <v>45910.412247615735</v>
      </c>
      <c r="B113" s="5" t="s">
        <v>274</v>
      </c>
      <c r="C113" s="5" t="s">
        <v>19</v>
      </c>
      <c r="D113" s="5" t="s">
        <v>275</v>
      </c>
      <c r="E113" s="5">
        <v>2.5083010028E10</v>
      </c>
      <c r="F113" s="5" t="s">
        <v>150</v>
      </c>
      <c r="G113" s="5" t="s">
        <v>267</v>
      </c>
      <c r="H113" s="5">
        <v>6.285130134311E12</v>
      </c>
      <c r="I113" s="6">
        <v>3.0</v>
      </c>
      <c r="J113" s="5" t="s">
        <v>23</v>
      </c>
      <c r="K113" s="6">
        <v>5.0</v>
      </c>
      <c r="L113" s="6">
        <v>2.0</v>
      </c>
      <c r="M113" s="5" t="s">
        <v>46</v>
      </c>
      <c r="N113" s="5" t="s">
        <v>25</v>
      </c>
      <c r="O113" s="5" t="s">
        <v>26</v>
      </c>
      <c r="P113" s="6">
        <v>4.0</v>
      </c>
      <c r="Q113" s="6">
        <v>5.0</v>
      </c>
      <c r="R113" s="6">
        <v>1.0</v>
      </c>
      <c r="V113" s="7"/>
    </row>
    <row r="114" ht="22.5" customHeight="1">
      <c r="A114" s="4">
        <v>45910.41243074074</v>
      </c>
      <c r="B114" s="5" t="s">
        <v>276</v>
      </c>
      <c r="C114" s="5" t="s">
        <v>19</v>
      </c>
      <c r="D114" s="5" t="s">
        <v>277</v>
      </c>
      <c r="E114" s="5">
        <v>2.2083010109E10</v>
      </c>
      <c r="F114" s="5" t="s">
        <v>150</v>
      </c>
      <c r="G114" s="5" t="s">
        <v>267</v>
      </c>
      <c r="H114" s="5">
        <v>6.289678865269E12</v>
      </c>
      <c r="I114" s="6">
        <v>2.0</v>
      </c>
      <c r="J114" s="5" t="s">
        <v>23</v>
      </c>
      <c r="K114" s="6">
        <v>1.0</v>
      </c>
      <c r="L114" s="6">
        <v>0.0</v>
      </c>
      <c r="M114" s="5" t="s">
        <v>46</v>
      </c>
      <c r="N114" s="5" t="s">
        <v>25</v>
      </c>
      <c r="O114" s="5" t="s">
        <v>26</v>
      </c>
      <c r="P114" s="6">
        <v>4.0</v>
      </c>
      <c r="Q114" s="6">
        <v>3.0</v>
      </c>
      <c r="R114" s="6">
        <v>4.0</v>
      </c>
      <c r="V114" s="7"/>
    </row>
    <row r="115" ht="22.5" customHeight="1">
      <c r="A115" s="4">
        <v>45910.412593368055</v>
      </c>
      <c r="B115" s="5" t="s">
        <v>278</v>
      </c>
      <c r="C115" s="5" t="s">
        <v>19</v>
      </c>
      <c r="D115" s="5" t="s">
        <v>279</v>
      </c>
      <c r="E115" s="5">
        <v>2.4083010019E10</v>
      </c>
      <c r="F115" s="5" t="s">
        <v>150</v>
      </c>
      <c r="G115" s="5" t="s">
        <v>267</v>
      </c>
      <c r="H115" s="5">
        <v>6.281399642665E12</v>
      </c>
      <c r="I115" s="6">
        <v>5.0</v>
      </c>
      <c r="J115" s="5" t="s">
        <v>23</v>
      </c>
      <c r="K115" s="6">
        <v>4.0</v>
      </c>
      <c r="L115" s="6">
        <v>2.0</v>
      </c>
      <c r="M115" s="5" t="s">
        <v>49</v>
      </c>
      <c r="N115" s="5" t="s">
        <v>25</v>
      </c>
      <c r="O115" s="5" t="s">
        <v>35</v>
      </c>
      <c r="P115" s="6">
        <v>3.0</v>
      </c>
      <c r="Q115" s="6">
        <v>2.0</v>
      </c>
      <c r="R115" s="6">
        <v>4.0</v>
      </c>
      <c r="V115" s="7"/>
    </row>
    <row r="116" ht="22.5" customHeight="1">
      <c r="A116" s="4">
        <v>45910.4126024537</v>
      </c>
      <c r="B116" s="5" t="s">
        <v>280</v>
      </c>
      <c r="C116" s="5" t="s">
        <v>19</v>
      </c>
      <c r="D116" s="5" t="s">
        <v>281</v>
      </c>
      <c r="E116" s="5">
        <v>2.2083010078E10</v>
      </c>
      <c r="F116" s="5" t="s">
        <v>150</v>
      </c>
      <c r="G116" s="5" t="s">
        <v>267</v>
      </c>
      <c r="H116" s="5">
        <v>6.285645956206E12</v>
      </c>
      <c r="I116" s="6">
        <v>2.0</v>
      </c>
      <c r="J116" s="5" t="s">
        <v>23</v>
      </c>
      <c r="K116" s="6">
        <v>1.0</v>
      </c>
      <c r="L116" s="6">
        <v>1.0</v>
      </c>
      <c r="M116" s="5" t="s">
        <v>46</v>
      </c>
      <c r="N116" s="5" t="s">
        <v>25</v>
      </c>
      <c r="O116" s="5" t="s">
        <v>282</v>
      </c>
      <c r="P116" s="6">
        <v>2.0</v>
      </c>
      <c r="Q116" s="6">
        <v>3.0</v>
      </c>
      <c r="R116" s="6">
        <v>1.0</v>
      </c>
      <c r="V116" s="7"/>
    </row>
    <row r="117" ht="22.5" customHeight="1">
      <c r="A117" s="4">
        <v>45910.4140230787</v>
      </c>
      <c r="B117" s="5" t="s">
        <v>283</v>
      </c>
      <c r="C117" s="5" t="s">
        <v>19</v>
      </c>
      <c r="D117" s="5" t="s">
        <v>284</v>
      </c>
      <c r="E117" s="5">
        <v>2.3083010075E10</v>
      </c>
      <c r="F117" s="5" t="s">
        <v>150</v>
      </c>
      <c r="G117" s="5" t="s">
        <v>267</v>
      </c>
      <c r="H117" s="5">
        <v>6.287761764541E12</v>
      </c>
      <c r="I117" s="6">
        <v>3.0</v>
      </c>
      <c r="J117" s="5" t="s">
        <v>196</v>
      </c>
      <c r="K117" s="6">
        <v>5.0</v>
      </c>
      <c r="L117" s="6">
        <v>4.0</v>
      </c>
      <c r="M117" s="5" t="s">
        <v>24</v>
      </c>
      <c r="N117" s="5" t="s">
        <v>25</v>
      </c>
      <c r="O117" s="5" t="s">
        <v>35</v>
      </c>
      <c r="P117" s="6">
        <v>4.0</v>
      </c>
      <c r="Q117" s="6">
        <v>4.0</v>
      </c>
      <c r="R117" s="6">
        <v>6.0</v>
      </c>
      <c r="V117" s="7"/>
    </row>
    <row r="118" ht="22.5" customHeight="1">
      <c r="A118" s="4">
        <v>45910.41597173611</v>
      </c>
      <c r="B118" s="5" t="s">
        <v>285</v>
      </c>
      <c r="C118" s="5" t="s">
        <v>19</v>
      </c>
      <c r="D118" s="5" t="s">
        <v>286</v>
      </c>
      <c r="E118" s="5">
        <v>2.3083010077E10</v>
      </c>
      <c r="F118" s="5" t="s">
        <v>150</v>
      </c>
      <c r="G118" s="5" t="s">
        <v>267</v>
      </c>
      <c r="H118" s="5">
        <v>6.287758129977E12</v>
      </c>
      <c r="I118" s="6">
        <v>3.0</v>
      </c>
      <c r="J118" s="5" t="s">
        <v>23</v>
      </c>
      <c r="K118" s="6">
        <v>5.0</v>
      </c>
      <c r="L118" s="6">
        <v>0.0</v>
      </c>
      <c r="M118" s="5" t="s">
        <v>24</v>
      </c>
      <c r="N118" s="5" t="s">
        <v>25</v>
      </c>
      <c r="O118" s="5" t="s">
        <v>35</v>
      </c>
      <c r="P118" s="6">
        <v>3.0</v>
      </c>
      <c r="Q118" s="6">
        <v>3.0</v>
      </c>
      <c r="R118" s="6">
        <v>0.0</v>
      </c>
      <c r="V118" s="7"/>
    </row>
    <row r="119" ht="22.5" customHeight="1">
      <c r="A119" s="4">
        <v>45910.42002804398</v>
      </c>
      <c r="B119" s="5" t="s">
        <v>287</v>
      </c>
      <c r="C119" s="5" t="s">
        <v>19</v>
      </c>
      <c r="D119" s="5" t="s">
        <v>288</v>
      </c>
      <c r="E119" s="5">
        <v>2.408301008E10</v>
      </c>
      <c r="F119" s="5" t="s">
        <v>150</v>
      </c>
      <c r="G119" s="5" t="s">
        <v>267</v>
      </c>
      <c r="H119" s="5">
        <v>6.288235969066E12</v>
      </c>
      <c r="I119" s="6">
        <v>9.0</v>
      </c>
      <c r="J119" s="5" t="s">
        <v>23</v>
      </c>
      <c r="K119" s="6">
        <v>4.0</v>
      </c>
      <c r="L119" s="6">
        <v>4.0</v>
      </c>
      <c r="M119" s="5" t="s">
        <v>64</v>
      </c>
      <c r="N119" s="5" t="s">
        <v>25</v>
      </c>
      <c r="O119" s="5" t="s">
        <v>26</v>
      </c>
      <c r="P119" s="6">
        <v>5.0</v>
      </c>
      <c r="Q119" s="6">
        <v>5.0</v>
      </c>
      <c r="R119" s="6">
        <v>4.0</v>
      </c>
      <c r="V119" s="7"/>
    </row>
    <row r="120" ht="22.5" customHeight="1">
      <c r="A120" s="4">
        <v>45910.42058365741</v>
      </c>
      <c r="B120" s="5" t="s">
        <v>289</v>
      </c>
      <c r="C120" s="5" t="s">
        <v>19</v>
      </c>
      <c r="D120" s="5" t="s">
        <v>290</v>
      </c>
      <c r="E120" s="5">
        <v>2.4083010064E10</v>
      </c>
      <c r="F120" s="5" t="s">
        <v>150</v>
      </c>
      <c r="G120" s="5" t="s">
        <v>267</v>
      </c>
      <c r="H120" s="5">
        <v>6.285748321121E12</v>
      </c>
      <c r="I120" s="6">
        <v>4.0</v>
      </c>
      <c r="J120" s="5" t="s">
        <v>96</v>
      </c>
      <c r="K120" s="6">
        <v>2.0</v>
      </c>
      <c r="L120" s="6">
        <v>1.0</v>
      </c>
      <c r="M120" s="5" t="s">
        <v>64</v>
      </c>
      <c r="N120" s="5" t="s">
        <v>25</v>
      </c>
      <c r="O120" s="5" t="s">
        <v>26</v>
      </c>
      <c r="P120" s="6">
        <v>5.0</v>
      </c>
      <c r="Q120" s="6">
        <v>3.0</v>
      </c>
      <c r="R120" s="6">
        <v>2.0</v>
      </c>
      <c r="V120" s="7"/>
    </row>
    <row r="121" ht="22.5" customHeight="1">
      <c r="A121" s="4">
        <v>45910.421695173616</v>
      </c>
      <c r="B121" s="5" t="s">
        <v>291</v>
      </c>
      <c r="C121" s="5" t="s">
        <v>19</v>
      </c>
      <c r="D121" s="5" t="s">
        <v>292</v>
      </c>
      <c r="E121" s="5">
        <v>2.3083010071E10</v>
      </c>
      <c r="F121" s="5" t="s">
        <v>150</v>
      </c>
      <c r="G121" s="5" t="s">
        <v>267</v>
      </c>
      <c r="H121" s="5">
        <v>6.287841925591E12</v>
      </c>
      <c r="I121" s="6">
        <v>10.0</v>
      </c>
      <c r="J121" s="5" t="s">
        <v>23</v>
      </c>
      <c r="K121" s="6">
        <v>7.0</v>
      </c>
      <c r="L121" s="6">
        <v>4.0</v>
      </c>
      <c r="M121" s="5" t="s">
        <v>64</v>
      </c>
      <c r="N121" s="5" t="s">
        <v>25</v>
      </c>
      <c r="O121" s="5" t="s">
        <v>29</v>
      </c>
      <c r="P121" s="6">
        <v>3.0</v>
      </c>
      <c r="Q121" s="6">
        <v>3.0</v>
      </c>
      <c r="R121" s="6">
        <v>4.0</v>
      </c>
      <c r="V121" s="7"/>
    </row>
    <row r="122" ht="22.5" customHeight="1">
      <c r="A122" s="4">
        <v>45910.423022627314</v>
      </c>
      <c r="B122" s="5" t="s">
        <v>293</v>
      </c>
      <c r="C122" s="5" t="s">
        <v>19</v>
      </c>
      <c r="D122" s="5" t="s">
        <v>294</v>
      </c>
      <c r="E122" s="5">
        <v>2.3083010035E10</v>
      </c>
      <c r="F122" s="5" t="s">
        <v>150</v>
      </c>
      <c r="G122" s="5" t="s">
        <v>267</v>
      </c>
      <c r="H122" s="5">
        <v>6.285806072895E12</v>
      </c>
      <c r="I122" s="6">
        <v>7.0</v>
      </c>
      <c r="J122" s="5" t="s">
        <v>23</v>
      </c>
      <c r="K122" s="6">
        <v>5.0</v>
      </c>
      <c r="L122" s="6">
        <v>4.0</v>
      </c>
      <c r="M122" s="5" t="s">
        <v>24</v>
      </c>
      <c r="N122" s="5" t="s">
        <v>25</v>
      </c>
      <c r="O122" s="5" t="s">
        <v>26</v>
      </c>
      <c r="P122" s="6">
        <v>4.0</v>
      </c>
      <c r="Q122" s="6">
        <v>5.0</v>
      </c>
      <c r="R122" s="6">
        <v>1.0</v>
      </c>
      <c r="V122" s="7"/>
    </row>
    <row r="123" ht="22.5" customHeight="1">
      <c r="A123" s="4">
        <v>45910.42324916666</v>
      </c>
      <c r="B123" s="5" t="s">
        <v>295</v>
      </c>
      <c r="C123" s="5" t="s">
        <v>19</v>
      </c>
      <c r="D123" s="5" t="s">
        <v>296</v>
      </c>
      <c r="E123" s="5">
        <v>2.3083010098E10</v>
      </c>
      <c r="F123" s="5" t="s">
        <v>150</v>
      </c>
      <c r="G123" s="5" t="s">
        <v>267</v>
      </c>
      <c r="H123" s="5">
        <v>6.288217315261E12</v>
      </c>
      <c r="I123" s="6">
        <v>7.0</v>
      </c>
      <c r="J123" s="5" t="s">
        <v>23</v>
      </c>
      <c r="K123" s="6">
        <v>7.0</v>
      </c>
      <c r="L123" s="6">
        <v>4.0</v>
      </c>
      <c r="M123" s="5" t="s">
        <v>64</v>
      </c>
      <c r="N123" s="5" t="s">
        <v>25</v>
      </c>
      <c r="O123" s="5" t="s">
        <v>29</v>
      </c>
      <c r="P123" s="6">
        <v>3.0</v>
      </c>
      <c r="Q123" s="6">
        <v>4.0</v>
      </c>
      <c r="R123" s="6">
        <v>1.0</v>
      </c>
      <c r="V123" s="7"/>
    </row>
    <row r="124" ht="22.5" customHeight="1">
      <c r="A124" s="4">
        <v>45910.42408253472</v>
      </c>
      <c r="B124" s="5" t="s">
        <v>297</v>
      </c>
      <c r="C124" s="5" t="s">
        <v>19</v>
      </c>
      <c r="D124" s="5" t="s">
        <v>298</v>
      </c>
      <c r="E124" s="5">
        <v>2.3083010022E10</v>
      </c>
      <c r="F124" s="5" t="s">
        <v>150</v>
      </c>
      <c r="G124" s="5" t="s">
        <v>267</v>
      </c>
      <c r="H124" s="5">
        <v>6.285158822545E12</v>
      </c>
      <c r="I124" s="6">
        <v>1.0</v>
      </c>
      <c r="J124" s="5" t="s">
        <v>23</v>
      </c>
      <c r="K124" s="6">
        <v>2.0</v>
      </c>
      <c r="L124" s="6">
        <v>3.0</v>
      </c>
      <c r="M124" s="5" t="s">
        <v>64</v>
      </c>
      <c r="N124" s="5" t="s">
        <v>25</v>
      </c>
      <c r="O124" s="5" t="s">
        <v>26</v>
      </c>
      <c r="P124" s="6">
        <v>4.0</v>
      </c>
      <c r="Q124" s="6">
        <v>3.0</v>
      </c>
      <c r="R124" s="6">
        <v>3.0</v>
      </c>
      <c r="V124" s="7"/>
    </row>
    <row r="125" ht="22.5" customHeight="1">
      <c r="A125" s="4">
        <v>45910.424519884255</v>
      </c>
      <c r="B125" s="5" t="s">
        <v>299</v>
      </c>
      <c r="C125" s="5" t="s">
        <v>19</v>
      </c>
      <c r="D125" s="5" t="s">
        <v>300</v>
      </c>
      <c r="E125" s="5">
        <v>2.2083010108E10</v>
      </c>
      <c r="F125" s="5" t="s">
        <v>150</v>
      </c>
      <c r="G125" s="5" t="s">
        <v>267</v>
      </c>
      <c r="H125" s="5">
        <v>6.288989946781E12</v>
      </c>
      <c r="I125" s="6">
        <v>10.0</v>
      </c>
      <c r="J125" s="5" t="s">
        <v>23</v>
      </c>
      <c r="K125" s="6">
        <v>4.0</v>
      </c>
      <c r="L125" s="6">
        <v>0.0</v>
      </c>
      <c r="M125" s="5" t="s">
        <v>24</v>
      </c>
      <c r="N125" s="5" t="s">
        <v>25</v>
      </c>
      <c r="O125" s="5" t="s">
        <v>301</v>
      </c>
      <c r="P125" s="6">
        <v>2.0</v>
      </c>
      <c r="Q125" s="6">
        <v>2.0</v>
      </c>
      <c r="R125" s="6">
        <v>4.0</v>
      </c>
      <c r="V125" s="7"/>
    </row>
    <row r="126" ht="22.5" customHeight="1">
      <c r="A126" s="4">
        <v>45910.426771377315</v>
      </c>
      <c r="B126" s="5" t="s">
        <v>302</v>
      </c>
      <c r="C126" s="5" t="s">
        <v>19</v>
      </c>
      <c r="D126" s="5" t="s">
        <v>303</v>
      </c>
      <c r="E126" s="5">
        <v>2.4083010029E10</v>
      </c>
      <c r="F126" s="5" t="s">
        <v>150</v>
      </c>
      <c r="G126" s="5" t="s">
        <v>267</v>
      </c>
      <c r="H126" s="5">
        <v>6.28123456789E12</v>
      </c>
      <c r="I126" s="6">
        <v>4.0</v>
      </c>
      <c r="J126" s="5" t="s">
        <v>23</v>
      </c>
      <c r="K126" s="6">
        <v>5.0</v>
      </c>
      <c r="L126" s="6">
        <v>5.0</v>
      </c>
      <c r="M126" s="5" t="s">
        <v>46</v>
      </c>
      <c r="N126" s="5" t="s">
        <v>25</v>
      </c>
      <c r="O126" s="5" t="s">
        <v>29</v>
      </c>
      <c r="P126" s="6">
        <v>4.0</v>
      </c>
      <c r="Q126" s="6">
        <v>4.0</v>
      </c>
      <c r="R126" s="6">
        <v>2.0</v>
      </c>
      <c r="V126" s="7"/>
    </row>
    <row r="127" ht="22.5" customHeight="1">
      <c r="A127" s="4">
        <v>45910.433414872685</v>
      </c>
      <c r="B127" s="5" t="s">
        <v>304</v>
      </c>
      <c r="C127" s="5" t="s">
        <v>19</v>
      </c>
      <c r="D127" s="5" t="s">
        <v>305</v>
      </c>
      <c r="E127" s="5">
        <v>2.5083010042E10</v>
      </c>
      <c r="F127" s="5" t="s">
        <v>150</v>
      </c>
      <c r="G127" s="5" t="s">
        <v>267</v>
      </c>
      <c r="H127" s="5">
        <v>6.285331669745E12</v>
      </c>
      <c r="I127" s="6">
        <v>3.0</v>
      </c>
      <c r="J127" s="5" t="s">
        <v>23</v>
      </c>
      <c r="K127" s="6">
        <v>1.0</v>
      </c>
      <c r="L127" s="6">
        <v>3.0</v>
      </c>
      <c r="M127" s="5" t="s">
        <v>49</v>
      </c>
      <c r="N127" s="5" t="s">
        <v>25</v>
      </c>
      <c r="O127" s="5" t="s">
        <v>26</v>
      </c>
      <c r="P127" s="6">
        <v>4.0</v>
      </c>
      <c r="Q127" s="6">
        <v>5.0</v>
      </c>
      <c r="R127" s="6">
        <v>1.0</v>
      </c>
      <c r="V127" s="7"/>
    </row>
    <row r="128" ht="22.5" customHeight="1">
      <c r="A128" s="4">
        <v>45910.44839012732</v>
      </c>
      <c r="B128" s="5" t="s">
        <v>306</v>
      </c>
      <c r="C128" s="5" t="s">
        <v>19</v>
      </c>
      <c r="D128" s="5" t="s">
        <v>307</v>
      </c>
      <c r="E128" s="5">
        <v>2.3083010063E10</v>
      </c>
      <c r="F128" s="5" t="s">
        <v>150</v>
      </c>
      <c r="G128" s="5" t="s">
        <v>267</v>
      </c>
      <c r="H128" s="5">
        <v>6.285606403656E12</v>
      </c>
      <c r="I128" s="6">
        <v>1.0</v>
      </c>
      <c r="J128" s="5" t="s">
        <v>23</v>
      </c>
      <c r="K128" s="6">
        <v>3.0</v>
      </c>
      <c r="L128" s="6">
        <v>0.0</v>
      </c>
      <c r="M128" s="5" t="s">
        <v>24</v>
      </c>
      <c r="N128" s="5" t="s">
        <v>25</v>
      </c>
      <c r="O128" s="5" t="s">
        <v>29</v>
      </c>
      <c r="P128" s="6">
        <v>4.0</v>
      </c>
      <c r="Q128" s="6">
        <v>4.0</v>
      </c>
      <c r="R128" s="6">
        <v>1.0</v>
      </c>
      <c r="V128" s="7"/>
    </row>
    <row r="129" ht="22.5" customHeight="1">
      <c r="A129" s="4">
        <v>45910.44981586805</v>
      </c>
      <c r="B129" s="5" t="s">
        <v>308</v>
      </c>
      <c r="C129" s="5" t="s">
        <v>19</v>
      </c>
      <c r="D129" s="5" t="s">
        <v>309</v>
      </c>
      <c r="E129" s="5">
        <v>2.4083010105E10</v>
      </c>
      <c r="F129" s="5" t="s">
        <v>150</v>
      </c>
      <c r="G129" s="5" t="s">
        <v>267</v>
      </c>
      <c r="H129" s="5">
        <v>6.285706340117E12</v>
      </c>
      <c r="I129" s="6">
        <v>3.0</v>
      </c>
      <c r="J129" s="5" t="s">
        <v>196</v>
      </c>
      <c r="K129" s="6">
        <v>7.0</v>
      </c>
      <c r="L129" s="6">
        <v>3.0</v>
      </c>
      <c r="M129" s="5" t="s">
        <v>49</v>
      </c>
      <c r="N129" s="5" t="s">
        <v>25</v>
      </c>
      <c r="O129" s="5" t="s">
        <v>35</v>
      </c>
      <c r="P129" s="6">
        <v>3.0</v>
      </c>
      <c r="Q129" s="6">
        <v>4.0</v>
      </c>
      <c r="R129" s="6">
        <v>2.0</v>
      </c>
      <c r="V129" s="7"/>
    </row>
    <row r="130" ht="22.5" customHeight="1">
      <c r="A130" s="4">
        <v>45910.45209380787</v>
      </c>
      <c r="B130" s="5" t="s">
        <v>310</v>
      </c>
      <c r="C130" s="5" t="s">
        <v>19</v>
      </c>
      <c r="D130" s="5" t="s">
        <v>311</v>
      </c>
      <c r="E130" s="5">
        <v>2.4083010083E10</v>
      </c>
      <c r="F130" s="5" t="s">
        <v>150</v>
      </c>
      <c r="G130" s="5" t="s">
        <v>267</v>
      </c>
      <c r="H130" s="5">
        <v>6.287778669888E12</v>
      </c>
      <c r="I130" s="6">
        <v>12.0</v>
      </c>
      <c r="J130" s="5" t="s">
        <v>23</v>
      </c>
      <c r="K130" s="6">
        <v>5.0</v>
      </c>
      <c r="L130" s="6">
        <v>2.0</v>
      </c>
      <c r="M130" s="5" t="s">
        <v>64</v>
      </c>
      <c r="N130" s="5" t="s">
        <v>25</v>
      </c>
      <c r="O130" s="5" t="s">
        <v>26</v>
      </c>
      <c r="P130" s="6">
        <v>5.0</v>
      </c>
      <c r="Q130" s="6">
        <v>5.0</v>
      </c>
      <c r="R130" s="6">
        <v>3.0</v>
      </c>
      <c r="V130" s="7"/>
    </row>
    <row r="131" ht="22.5" customHeight="1">
      <c r="A131" s="4">
        <v>45910.45739373843</v>
      </c>
      <c r="B131" s="5" t="s">
        <v>312</v>
      </c>
      <c r="C131" s="5" t="s">
        <v>19</v>
      </c>
      <c r="D131" s="5" t="s">
        <v>313</v>
      </c>
      <c r="E131" s="5">
        <v>2.4083010018E10</v>
      </c>
      <c r="F131" s="5" t="s">
        <v>150</v>
      </c>
      <c r="G131" s="5" t="s">
        <v>267</v>
      </c>
      <c r="H131" s="5">
        <v>6.281536515209E12</v>
      </c>
      <c r="I131" s="6">
        <v>3.0</v>
      </c>
      <c r="J131" s="5" t="s">
        <v>34</v>
      </c>
      <c r="K131" s="6">
        <v>3.0</v>
      </c>
      <c r="L131" s="6">
        <v>3.0</v>
      </c>
      <c r="M131" s="5" t="s">
        <v>24</v>
      </c>
      <c r="N131" s="5" t="s">
        <v>25</v>
      </c>
      <c r="O131" s="5" t="s">
        <v>29</v>
      </c>
      <c r="P131" s="6">
        <v>5.0</v>
      </c>
      <c r="Q131" s="6">
        <v>5.0</v>
      </c>
      <c r="R131" s="6">
        <v>1.0</v>
      </c>
      <c r="V131" s="7"/>
    </row>
    <row r="132" ht="22.5" customHeight="1">
      <c r="A132" s="4">
        <v>45910.45953439815</v>
      </c>
      <c r="B132" s="5" t="s">
        <v>314</v>
      </c>
      <c r="C132" s="5" t="s">
        <v>19</v>
      </c>
      <c r="D132" s="5" t="s">
        <v>315</v>
      </c>
      <c r="E132" s="5">
        <v>2.4083010051E10</v>
      </c>
      <c r="F132" s="5" t="s">
        <v>150</v>
      </c>
      <c r="G132" s="5" t="s">
        <v>267</v>
      </c>
      <c r="H132" s="5">
        <v>6.285850742606E12</v>
      </c>
      <c r="I132" s="6">
        <v>3.0</v>
      </c>
      <c r="J132" s="5" t="s">
        <v>23</v>
      </c>
      <c r="K132" s="6">
        <v>5.0</v>
      </c>
      <c r="L132" s="6">
        <v>2.0</v>
      </c>
      <c r="M132" s="5" t="s">
        <v>64</v>
      </c>
      <c r="N132" s="5" t="s">
        <v>25</v>
      </c>
      <c r="O132" s="5" t="s">
        <v>29</v>
      </c>
      <c r="P132" s="6">
        <v>4.0</v>
      </c>
      <c r="Q132" s="6">
        <v>4.0</v>
      </c>
      <c r="R132" s="6">
        <v>1.0</v>
      </c>
      <c r="V132" s="7"/>
    </row>
    <row r="133" ht="22.5" customHeight="1">
      <c r="A133" s="4">
        <v>45910.52081740741</v>
      </c>
      <c r="B133" s="5" t="s">
        <v>316</v>
      </c>
      <c r="C133" s="5" t="s">
        <v>19</v>
      </c>
      <c r="D133" s="5" t="s">
        <v>317</v>
      </c>
      <c r="E133" s="5">
        <v>2.4083010065E10</v>
      </c>
      <c r="F133" s="5" t="s">
        <v>150</v>
      </c>
      <c r="G133" s="5" t="s">
        <v>267</v>
      </c>
      <c r="H133" s="5">
        <v>6.28574183636E12</v>
      </c>
      <c r="I133" s="6">
        <v>8.0</v>
      </c>
      <c r="J133" s="5" t="s">
        <v>23</v>
      </c>
      <c r="K133" s="6">
        <v>4.0</v>
      </c>
      <c r="L133" s="6">
        <v>2.0</v>
      </c>
      <c r="M133" s="5" t="s">
        <v>64</v>
      </c>
      <c r="N133" s="5" t="s">
        <v>25</v>
      </c>
      <c r="O133" s="5" t="s">
        <v>35</v>
      </c>
      <c r="P133" s="6">
        <v>4.0</v>
      </c>
      <c r="Q133" s="6">
        <v>4.0</v>
      </c>
      <c r="R133" s="6">
        <v>3.0</v>
      </c>
      <c r="V133" s="7"/>
    </row>
    <row r="134" ht="22.5" customHeight="1">
      <c r="A134" s="4">
        <v>45910.541534675926</v>
      </c>
      <c r="B134" s="5" t="s">
        <v>318</v>
      </c>
      <c r="C134" s="5" t="s">
        <v>19</v>
      </c>
      <c r="D134" s="5" t="s">
        <v>319</v>
      </c>
      <c r="E134" s="5">
        <v>2.4083010041E10</v>
      </c>
      <c r="F134" s="5" t="s">
        <v>150</v>
      </c>
      <c r="G134" s="5" t="s">
        <v>267</v>
      </c>
      <c r="H134" s="5">
        <v>6.282228329816E12</v>
      </c>
      <c r="I134" s="6">
        <v>10.0</v>
      </c>
      <c r="J134" s="5" t="s">
        <v>34</v>
      </c>
      <c r="K134" s="6">
        <v>3.0</v>
      </c>
      <c r="L134" s="6">
        <v>5.0</v>
      </c>
      <c r="M134" s="5" t="s">
        <v>24</v>
      </c>
      <c r="N134" s="5" t="s">
        <v>25</v>
      </c>
      <c r="O134" s="5" t="s">
        <v>35</v>
      </c>
      <c r="P134" s="6">
        <v>5.0</v>
      </c>
      <c r="Q134" s="6">
        <v>5.0</v>
      </c>
      <c r="R134" s="6">
        <v>3.0</v>
      </c>
      <c r="V134" s="7"/>
    </row>
    <row r="135" ht="22.5" customHeight="1">
      <c r="A135" s="4">
        <v>45910.55332835648</v>
      </c>
      <c r="B135" s="5" t="s">
        <v>320</v>
      </c>
      <c r="C135" s="5" t="s">
        <v>19</v>
      </c>
      <c r="D135" s="5" t="s">
        <v>321</v>
      </c>
      <c r="E135" s="5">
        <v>2.4083010082E10</v>
      </c>
      <c r="F135" s="5" t="s">
        <v>150</v>
      </c>
      <c r="G135" s="5" t="s">
        <v>267</v>
      </c>
      <c r="H135" s="5">
        <v>6.281336278357E12</v>
      </c>
      <c r="I135" s="6">
        <v>3.0</v>
      </c>
      <c r="J135" s="5" t="s">
        <v>196</v>
      </c>
      <c r="K135" s="6">
        <v>14.0</v>
      </c>
      <c r="L135" s="6">
        <v>4.0</v>
      </c>
      <c r="M135" s="5" t="s">
        <v>49</v>
      </c>
      <c r="N135" s="5" t="s">
        <v>25</v>
      </c>
      <c r="O135" s="5" t="s">
        <v>26</v>
      </c>
      <c r="P135" s="6">
        <v>4.0</v>
      </c>
      <c r="Q135" s="6">
        <v>5.0</v>
      </c>
      <c r="R135" s="6">
        <v>4.0</v>
      </c>
      <c r="V135" s="7"/>
    </row>
    <row r="136" ht="22.5" customHeight="1">
      <c r="A136" s="4">
        <v>45910.56357003472</v>
      </c>
      <c r="B136" s="5" t="s">
        <v>322</v>
      </c>
      <c r="C136" s="5" t="s">
        <v>19</v>
      </c>
      <c r="D136" s="5" t="s">
        <v>323</v>
      </c>
      <c r="E136" s="5">
        <v>2.408301012E10</v>
      </c>
      <c r="F136" s="5" t="s">
        <v>150</v>
      </c>
      <c r="G136" s="5" t="s">
        <v>267</v>
      </c>
      <c r="H136" s="5">
        <v>6.287852013228E12</v>
      </c>
      <c r="I136" s="6">
        <v>3.0</v>
      </c>
      <c r="J136" s="5" t="s">
        <v>23</v>
      </c>
      <c r="K136" s="6">
        <v>1.0</v>
      </c>
      <c r="L136" s="6">
        <v>1.0</v>
      </c>
      <c r="M136" s="5" t="s">
        <v>46</v>
      </c>
      <c r="N136" s="5" t="s">
        <v>25</v>
      </c>
      <c r="O136" s="5" t="s">
        <v>26</v>
      </c>
      <c r="P136" s="6">
        <v>5.0</v>
      </c>
      <c r="Q136" s="6">
        <v>5.0</v>
      </c>
      <c r="R136" s="6">
        <v>6.0</v>
      </c>
      <c r="V136" s="7"/>
    </row>
    <row r="137" ht="22.5" customHeight="1">
      <c r="A137" s="4">
        <v>45910.60884988426</v>
      </c>
      <c r="B137" s="5" t="s">
        <v>324</v>
      </c>
      <c r="C137" s="5" t="s">
        <v>19</v>
      </c>
      <c r="D137" s="5" t="s">
        <v>325</v>
      </c>
      <c r="E137" s="5">
        <v>2.4083010033E10</v>
      </c>
      <c r="F137" s="5" t="s">
        <v>150</v>
      </c>
      <c r="G137" s="5" t="s">
        <v>267</v>
      </c>
      <c r="H137" s="5">
        <v>6.2895326046547E13</v>
      </c>
      <c r="I137" s="6">
        <v>2.0</v>
      </c>
      <c r="J137" s="5" t="s">
        <v>23</v>
      </c>
      <c r="K137" s="6">
        <v>4.0</v>
      </c>
      <c r="L137" s="6">
        <v>4.0</v>
      </c>
      <c r="M137" s="5" t="s">
        <v>46</v>
      </c>
      <c r="N137" s="5" t="s">
        <v>25</v>
      </c>
      <c r="O137" s="5" t="s">
        <v>29</v>
      </c>
      <c r="P137" s="6">
        <v>4.0</v>
      </c>
      <c r="Q137" s="6">
        <v>5.0</v>
      </c>
      <c r="R137" s="6">
        <v>4.0</v>
      </c>
      <c r="V137" s="7"/>
    </row>
    <row r="138" ht="22.5" customHeight="1">
      <c r="A138" s="4">
        <v>45910.61047637732</v>
      </c>
      <c r="B138" s="5" t="s">
        <v>326</v>
      </c>
      <c r="C138" s="5" t="s">
        <v>19</v>
      </c>
      <c r="D138" s="5" t="s">
        <v>327</v>
      </c>
      <c r="E138" s="5">
        <v>2.4083010115E10</v>
      </c>
      <c r="F138" s="5" t="s">
        <v>150</v>
      </c>
      <c r="G138" s="5" t="s">
        <v>267</v>
      </c>
      <c r="H138" s="5">
        <v>6.28388378161E11</v>
      </c>
      <c r="I138" s="6">
        <v>10.0</v>
      </c>
      <c r="J138" s="5" t="s">
        <v>23</v>
      </c>
      <c r="K138" s="6">
        <v>4.0</v>
      </c>
      <c r="L138" s="6">
        <v>4.0</v>
      </c>
      <c r="M138" s="5" t="s">
        <v>46</v>
      </c>
      <c r="N138" s="5" t="s">
        <v>25</v>
      </c>
      <c r="O138" s="5" t="s">
        <v>35</v>
      </c>
      <c r="P138" s="6">
        <v>3.0</v>
      </c>
      <c r="Q138" s="6">
        <v>3.0</v>
      </c>
      <c r="R138" s="6">
        <v>1.0</v>
      </c>
      <c r="V138" s="7"/>
    </row>
    <row r="139" ht="22.5" customHeight="1">
      <c r="A139" s="4">
        <v>45910.62743653935</v>
      </c>
      <c r="B139" s="5" t="s">
        <v>328</v>
      </c>
      <c r="C139" s="5" t="s">
        <v>19</v>
      </c>
      <c r="D139" s="5" t="s">
        <v>329</v>
      </c>
      <c r="E139" s="5">
        <v>2.3083010052E10</v>
      </c>
      <c r="F139" s="5" t="s">
        <v>150</v>
      </c>
      <c r="G139" s="5" t="s">
        <v>267</v>
      </c>
      <c r="H139" s="5">
        <v>6.285102320502E12</v>
      </c>
      <c r="I139" s="6">
        <v>3.0</v>
      </c>
      <c r="J139" s="5" t="s">
        <v>23</v>
      </c>
      <c r="K139" s="6">
        <v>5.0</v>
      </c>
      <c r="L139" s="6">
        <v>5.0</v>
      </c>
      <c r="M139" s="5" t="s">
        <v>46</v>
      </c>
      <c r="N139" s="5" t="s">
        <v>25</v>
      </c>
      <c r="O139" s="5" t="s">
        <v>35</v>
      </c>
      <c r="P139" s="6">
        <v>3.0</v>
      </c>
      <c r="Q139" s="6">
        <v>4.0</v>
      </c>
      <c r="R139" s="6">
        <v>1.0</v>
      </c>
      <c r="V139" s="7"/>
    </row>
    <row r="140" ht="22.5" customHeight="1">
      <c r="A140" s="4">
        <v>45910.67552016204</v>
      </c>
      <c r="B140" s="5" t="s">
        <v>330</v>
      </c>
      <c r="C140" s="5" t="s">
        <v>19</v>
      </c>
      <c r="D140" s="5" t="s">
        <v>331</v>
      </c>
      <c r="E140" s="5">
        <v>2.4083010085E10</v>
      </c>
      <c r="F140" s="5" t="s">
        <v>150</v>
      </c>
      <c r="G140" s="5" t="s">
        <v>267</v>
      </c>
      <c r="H140" s="5">
        <v>6.281322422613E12</v>
      </c>
      <c r="I140" s="6">
        <v>5.0</v>
      </c>
      <c r="J140" s="5" t="s">
        <v>34</v>
      </c>
      <c r="K140" s="6">
        <v>4.0</v>
      </c>
      <c r="L140" s="6">
        <v>2.0</v>
      </c>
      <c r="M140" s="5" t="s">
        <v>24</v>
      </c>
      <c r="N140" s="5" t="s">
        <v>25</v>
      </c>
      <c r="O140" s="5" t="s">
        <v>35</v>
      </c>
      <c r="P140" s="6">
        <v>3.0</v>
      </c>
      <c r="Q140" s="6">
        <v>3.0</v>
      </c>
      <c r="R140" s="6">
        <v>1.0</v>
      </c>
      <c r="V140" s="7"/>
    </row>
    <row r="141" ht="22.5" customHeight="1">
      <c r="A141" s="4">
        <v>45910.693988009254</v>
      </c>
      <c r="B141" s="5" t="s">
        <v>332</v>
      </c>
      <c r="C141" s="5" t="s">
        <v>19</v>
      </c>
      <c r="D141" s="5" t="s">
        <v>333</v>
      </c>
      <c r="E141" s="5">
        <v>2.4083010089E10</v>
      </c>
      <c r="F141" s="5" t="s">
        <v>150</v>
      </c>
      <c r="G141" s="5" t="s">
        <v>267</v>
      </c>
      <c r="H141" s="5">
        <v>6.28216169799E12</v>
      </c>
      <c r="I141" s="6">
        <v>3.0</v>
      </c>
      <c r="J141" s="5" t="s">
        <v>34</v>
      </c>
      <c r="K141" s="6">
        <v>6.0</v>
      </c>
      <c r="L141" s="6">
        <v>4.0</v>
      </c>
      <c r="M141" s="5" t="s">
        <v>24</v>
      </c>
      <c r="N141" s="5" t="s">
        <v>25</v>
      </c>
      <c r="O141" s="5" t="s">
        <v>35</v>
      </c>
      <c r="P141" s="6">
        <v>3.0</v>
      </c>
      <c r="Q141" s="6">
        <v>3.0</v>
      </c>
      <c r="R141" s="6">
        <v>2.0</v>
      </c>
      <c r="V141" s="7"/>
    </row>
    <row r="142" ht="22.5" customHeight="1">
      <c r="A142" s="4">
        <v>45910.76983804398</v>
      </c>
      <c r="B142" s="5" t="s">
        <v>334</v>
      </c>
      <c r="C142" s="5" t="s">
        <v>19</v>
      </c>
      <c r="D142" s="5" t="s">
        <v>335</v>
      </c>
      <c r="E142" s="5">
        <v>2.4083010107E10</v>
      </c>
      <c r="F142" s="5" t="s">
        <v>150</v>
      </c>
      <c r="G142" s="5" t="s">
        <v>267</v>
      </c>
      <c r="H142" s="5">
        <v>6.2123406813E11</v>
      </c>
      <c r="I142" s="6">
        <v>4.0</v>
      </c>
      <c r="J142" s="5" t="s">
        <v>96</v>
      </c>
      <c r="K142" s="6">
        <v>5.0</v>
      </c>
      <c r="L142" s="6">
        <v>4.0</v>
      </c>
      <c r="M142" s="5" t="s">
        <v>64</v>
      </c>
      <c r="N142" s="5" t="s">
        <v>25</v>
      </c>
      <c r="O142" s="5" t="s">
        <v>26</v>
      </c>
      <c r="P142" s="6">
        <v>5.0</v>
      </c>
      <c r="Q142" s="6">
        <v>4.0</v>
      </c>
      <c r="R142" s="6">
        <v>2.0</v>
      </c>
      <c r="V142" s="7"/>
    </row>
    <row r="143" ht="22.5" customHeight="1">
      <c r="A143" s="4">
        <v>45910.84378956018</v>
      </c>
      <c r="B143" s="5" t="s">
        <v>336</v>
      </c>
      <c r="C143" s="5" t="s">
        <v>19</v>
      </c>
      <c r="D143" s="5" t="s">
        <v>337</v>
      </c>
      <c r="E143" s="5">
        <v>2.3083010046E10</v>
      </c>
      <c r="F143" s="5" t="s">
        <v>150</v>
      </c>
      <c r="G143" s="5" t="s">
        <v>267</v>
      </c>
      <c r="H143" s="5">
        <v>6.288228470608E12</v>
      </c>
      <c r="I143" s="6">
        <v>5.0</v>
      </c>
      <c r="J143" s="5" t="s">
        <v>23</v>
      </c>
      <c r="K143" s="6">
        <v>3.0</v>
      </c>
      <c r="L143" s="6">
        <v>1.0</v>
      </c>
      <c r="M143" s="5" t="s">
        <v>24</v>
      </c>
      <c r="N143" s="5" t="s">
        <v>25</v>
      </c>
      <c r="O143" s="5" t="s">
        <v>26</v>
      </c>
      <c r="P143" s="6">
        <v>5.0</v>
      </c>
      <c r="Q143" s="6">
        <v>5.0</v>
      </c>
      <c r="R143" s="6">
        <v>5.0</v>
      </c>
      <c r="V143" s="7"/>
    </row>
    <row r="144" ht="22.5" customHeight="1">
      <c r="A144" s="4">
        <v>45910.85020862268</v>
      </c>
      <c r="B144" s="5" t="s">
        <v>338</v>
      </c>
      <c r="C144" s="5" t="s">
        <v>19</v>
      </c>
      <c r="D144" s="5" t="s">
        <v>339</v>
      </c>
      <c r="E144" s="5">
        <v>2.4083010058E10</v>
      </c>
      <c r="F144" s="5" t="s">
        <v>150</v>
      </c>
      <c r="G144" s="5" t="s">
        <v>267</v>
      </c>
      <c r="H144" s="5">
        <v>6.285608152545E12</v>
      </c>
      <c r="I144" s="6">
        <v>9.0</v>
      </c>
      <c r="J144" s="5" t="s">
        <v>23</v>
      </c>
      <c r="K144" s="6">
        <v>5.0</v>
      </c>
      <c r="L144" s="6">
        <v>2.0</v>
      </c>
      <c r="M144" s="5" t="s">
        <v>64</v>
      </c>
      <c r="N144" s="5" t="s">
        <v>25</v>
      </c>
      <c r="O144" s="5" t="s">
        <v>29</v>
      </c>
      <c r="P144" s="6">
        <v>3.0</v>
      </c>
      <c r="Q144" s="6">
        <v>3.0</v>
      </c>
      <c r="R144" s="6">
        <v>4.0</v>
      </c>
      <c r="V144" s="7"/>
    </row>
    <row r="145" ht="22.5" customHeight="1">
      <c r="A145" s="4">
        <v>45910.9038872338</v>
      </c>
      <c r="B145" s="5" t="s">
        <v>340</v>
      </c>
      <c r="C145" s="5" t="s">
        <v>19</v>
      </c>
      <c r="D145" s="5" t="s">
        <v>341</v>
      </c>
      <c r="E145" s="5">
        <v>2.40830101E10</v>
      </c>
      <c r="F145" s="5" t="s">
        <v>150</v>
      </c>
      <c r="G145" s="5" t="s">
        <v>267</v>
      </c>
      <c r="H145" s="5">
        <v>6.289629652088E12</v>
      </c>
      <c r="I145" s="6">
        <v>2.0</v>
      </c>
      <c r="J145" s="5" t="s">
        <v>196</v>
      </c>
      <c r="K145" s="6">
        <v>3.0</v>
      </c>
      <c r="L145" s="6">
        <v>0.0</v>
      </c>
      <c r="M145" s="5" t="s">
        <v>49</v>
      </c>
      <c r="N145" s="5" t="s">
        <v>25</v>
      </c>
      <c r="O145" s="5" t="s">
        <v>35</v>
      </c>
      <c r="P145" s="6">
        <v>3.0</v>
      </c>
      <c r="Q145" s="6">
        <v>4.0</v>
      </c>
      <c r="R145" s="6">
        <v>3.0</v>
      </c>
      <c r="V145" s="7"/>
    </row>
    <row r="146" ht="22.5" customHeight="1">
      <c r="A146" s="4">
        <v>45910.94157945602</v>
      </c>
      <c r="B146" s="5" t="s">
        <v>342</v>
      </c>
      <c r="C146" s="5" t="s">
        <v>19</v>
      </c>
      <c r="D146" s="5" t="s">
        <v>343</v>
      </c>
      <c r="E146" s="5">
        <v>2.30830101E10</v>
      </c>
      <c r="F146" s="5" t="s">
        <v>150</v>
      </c>
      <c r="G146" s="5" t="s">
        <v>267</v>
      </c>
      <c r="H146" s="5">
        <v>6.281233476904E12</v>
      </c>
      <c r="I146" s="6">
        <v>3.0</v>
      </c>
      <c r="J146" s="5" t="s">
        <v>23</v>
      </c>
      <c r="K146" s="6">
        <v>5.0</v>
      </c>
      <c r="L146" s="6">
        <v>5.0</v>
      </c>
      <c r="M146" s="5" t="s">
        <v>24</v>
      </c>
      <c r="N146" s="5" t="s">
        <v>25</v>
      </c>
      <c r="O146" s="5" t="s">
        <v>26</v>
      </c>
      <c r="P146" s="6">
        <v>5.0</v>
      </c>
      <c r="Q146" s="6">
        <v>5.0</v>
      </c>
      <c r="R146" s="6">
        <v>9.0</v>
      </c>
      <c r="V146" s="7"/>
    </row>
    <row r="147" ht="22.5" customHeight="1">
      <c r="A147" s="4">
        <v>45911.30732541667</v>
      </c>
      <c r="B147" s="5" t="s">
        <v>344</v>
      </c>
      <c r="C147" s="5" t="s">
        <v>19</v>
      </c>
      <c r="D147" s="5" t="s">
        <v>345</v>
      </c>
      <c r="E147" s="5">
        <v>2.408301003E10</v>
      </c>
      <c r="F147" s="5" t="s">
        <v>150</v>
      </c>
      <c r="G147" s="5" t="s">
        <v>267</v>
      </c>
      <c r="H147" s="5">
        <v>6.287846270459E12</v>
      </c>
      <c r="I147" s="5">
        <v>36.0</v>
      </c>
      <c r="J147" s="5" t="s">
        <v>23</v>
      </c>
      <c r="K147" s="5">
        <v>4.0</v>
      </c>
      <c r="L147" s="5">
        <v>1.0</v>
      </c>
      <c r="M147" s="5" t="s">
        <v>24</v>
      </c>
      <c r="N147" s="5" t="s">
        <v>25</v>
      </c>
      <c r="O147" s="5" t="s">
        <v>29</v>
      </c>
      <c r="P147" s="5">
        <v>2.0</v>
      </c>
      <c r="Q147" s="5">
        <v>2.0</v>
      </c>
      <c r="R147" s="5">
        <v>1.0</v>
      </c>
      <c r="V147" s="7"/>
    </row>
    <row r="148" ht="22.5" customHeight="1">
      <c r="A148" s="4">
        <v>45911.59603390047</v>
      </c>
      <c r="B148" s="5" t="s">
        <v>346</v>
      </c>
      <c r="C148" s="5" t="s">
        <v>19</v>
      </c>
      <c r="D148" s="5" t="s">
        <v>347</v>
      </c>
      <c r="E148" s="5">
        <v>2.4083010094E10</v>
      </c>
      <c r="F148" s="5" t="s">
        <v>150</v>
      </c>
      <c r="G148" s="5" t="s">
        <v>267</v>
      </c>
      <c r="H148" s="5">
        <v>6.28133221322E12</v>
      </c>
      <c r="I148" s="5">
        <v>3.0</v>
      </c>
      <c r="J148" s="5" t="s">
        <v>23</v>
      </c>
      <c r="K148" s="5">
        <v>4.0</v>
      </c>
      <c r="L148" s="5">
        <v>4.0</v>
      </c>
      <c r="M148" s="5" t="s">
        <v>49</v>
      </c>
      <c r="N148" s="5" t="s">
        <v>25</v>
      </c>
      <c r="O148" s="5" t="s">
        <v>26</v>
      </c>
      <c r="P148" s="5">
        <v>5.0</v>
      </c>
      <c r="Q148" s="5">
        <v>5.0</v>
      </c>
      <c r="R148" s="5">
        <v>1.0</v>
      </c>
      <c r="V148" s="7"/>
    </row>
    <row r="149" ht="22.5" customHeight="1">
      <c r="A149" s="4">
        <v>45911.807043043984</v>
      </c>
      <c r="B149" s="5" t="s">
        <v>348</v>
      </c>
      <c r="C149" s="5" t="s">
        <v>19</v>
      </c>
      <c r="D149" s="5" t="s">
        <v>349</v>
      </c>
      <c r="E149" s="5">
        <v>2.4083010097E10</v>
      </c>
      <c r="F149" s="5" t="s">
        <v>150</v>
      </c>
      <c r="G149" s="5" t="s">
        <v>267</v>
      </c>
      <c r="H149" s="5">
        <v>6.285748422644E12</v>
      </c>
      <c r="I149" s="5">
        <v>7.0</v>
      </c>
      <c r="J149" s="5" t="s">
        <v>34</v>
      </c>
      <c r="K149" s="5">
        <v>3.0</v>
      </c>
      <c r="L149" s="5">
        <v>5.0</v>
      </c>
      <c r="M149" s="5" t="s">
        <v>64</v>
      </c>
      <c r="N149" s="5" t="s">
        <v>19</v>
      </c>
      <c r="O149" s="5" t="s">
        <v>29</v>
      </c>
      <c r="P149" s="5">
        <v>4.0</v>
      </c>
      <c r="Q149" s="5">
        <v>4.0</v>
      </c>
      <c r="R149" s="5">
        <v>3.0</v>
      </c>
      <c r="V149" s="7"/>
    </row>
    <row r="150" ht="22.5" customHeight="1">
      <c r="A150" s="4">
        <v>45912.42064709491</v>
      </c>
      <c r="B150" s="5" t="s">
        <v>350</v>
      </c>
      <c r="C150" s="5" t="s">
        <v>19</v>
      </c>
      <c r="D150" s="5" t="s">
        <v>351</v>
      </c>
      <c r="E150" s="5">
        <v>2.5083010149E10</v>
      </c>
      <c r="F150" s="5" t="s">
        <v>150</v>
      </c>
      <c r="G150" s="5" t="s">
        <v>267</v>
      </c>
      <c r="H150" s="5">
        <v>6.285600284801E12</v>
      </c>
      <c r="I150" s="5">
        <v>3.0</v>
      </c>
      <c r="J150" s="5" t="s">
        <v>34</v>
      </c>
      <c r="K150" s="5">
        <v>1.0</v>
      </c>
      <c r="L150" s="5">
        <v>2.0</v>
      </c>
      <c r="M150" s="5" t="s">
        <v>24</v>
      </c>
      <c r="N150" s="5" t="s">
        <v>25</v>
      </c>
      <c r="O150" s="5" t="s">
        <v>26</v>
      </c>
      <c r="P150" s="5">
        <v>5.0</v>
      </c>
      <c r="Q150" s="5">
        <v>5.0</v>
      </c>
      <c r="R150" s="5">
        <v>3.0</v>
      </c>
      <c r="V150" s="7"/>
    </row>
    <row r="151" ht="22.5" customHeight="1">
      <c r="A151" s="4">
        <v>45912.42666778935</v>
      </c>
      <c r="B151" s="5" t="s">
        <v>352</v>
      </c>
      <c r="C151" s="5" t="s">
        <v>19</v>
      </c>
      <c r="D151" s="5" t="s">
        <v>353</v>
      </c>
      <c r="E151" s="5">
        <v>2.5083010066E10</v>
      </c>
      <c r="F151" s="5" t="s">
        <v>150</v>
      </c>
      <c r="G151" s="5" t="s">
        <v>267</v>
      </c>
      <c r="H151" s="5">
        <v>6.283115788719E12</v>
      </c>
      <c r="I151" s="5">
        <v>2.0</v>
      </c>
      <c r="J151" s="5" t="s">
        <v>23</v>
      </c>
      <c r="K151" s="5">
        <v>2.0</v>
      </c>
      <c r="L151" s="5">
        <v>2.0</v>
      </c>
      <c r="M151" s="5" t="s">
        <v>49</v>
      </c>
      <c r="N151" s="5" t="s">
        <v>25</v>
      </c>
      <c r="O151" s="5" t="s">
        <v>26</v>
      </c>
      <c r="P151" s="5">
        <v>3.0</v>
      </c>
      <c r="Q151" s="5">
        <v>2.0</v>
      </c>
      <c r="R151" s="5">
        <v>2.0</v>
      </c>
      <c r="V151" s="7"/>
    </row>
    <row r="152" ht="22.5" customHeight="1">
      <c r="A152" s="4">
        <v>45913.40407131944</v>
      </c>
      <c r="B152" s="5" t="s">
        <v>354</v>
      </c>
      <c r="C152" s="5" t="s">
        <v>19</v>
      </c>
      <c r="D152" s="5" t="s">
        <v>355</v>
      </c>
      <c r="E152" s="5">
        <v>2.4083010038E10</v>
      </c>
      <c r="F152" s="5" t="s">
        <v>150</v>
      </c>
      <c r="G152" s="5" t="s">
        <v>267</v>
      </c>
      <c r="H152" s="5">
        <v>6.285646432524E12</v>
      </c>
      <c r="I152" s="5">
        <v>2.0</v>
      </c>
      <c r="J152" s="5" t="s">
        <v>23</v>
      </c>
      <c r="K152" s="5">
        <v>1.0</v>
      </c>
      <c r="L152" s="5">
        <v>3.0</v>
      </c>
      <c r="M152" s="5" t="s">
        <v>64</v>
      </c>
      <c r="N152" s="5" t="s">
        <v>25</v>
      </c>
      <c r="O152" s="5" t="s">
        <v>29</v>
      </c>
      <c r="P152" s="5">
        <v>3.0</v>
      </c>
      <c r="Q152" s="5">
        <v>4.0</v>
      </c>
      <c r="R152" s="5">
        <v>3.0</v>
      </c>
      <c r="V152" s="7"/>
    </row>
    <row r="153" ht="22.5" customHeight="1">
      <c r="A153" s="4">
        <v>45913.986949432874</v>
      </c>
      <c r="B153" s="5" t="s">
        <v>356</v>
      </c>
      <c r="C153" s="5" t="s">
        <v>19</v>
      </c>
      <c r="D153" s="5" t="s">
        <v>357</v>
      </c>
      <c r="E153" s="5">
        <v>2.4083010037E10</v>
      </c>
      <c r="F153" s="5" t="s">
        <v>150</v>
      </c>
      <c r="G153" s="5" t="s">
        <v>267</v>
      </c>
      <c r="H153" s="5">
        <v>6.285761127382E12</v>
      </c>
      <c r="I153" s="5">
        <v>4.0</v>
      </c>
      <c r="J153" s="5" t="s">
        <v>96</v>
      </c>
      <c r="K153" s="5">
        <v>6.0</v>
      </c>
      <c r="L153" s="5">
        <v>7.0</v>
      </c>
      <c r="M153" s="5" t="s">
        <v>46</v>
      </c>
      <c r="N153" s="5" t="s">
        <v>25</v>
      </c>
      <c r="O153" s="5" t="s">
        <v>35</v>
      </c>
      <c r="P153" s="5">
        <v>4.0</v>
      </c>
      <c r="Q153" s="5">
        <v>3.0</v>
      </c>
      <c r="R153" s="5">
        <v>5.0</v>
      </c>
      <c r="V153" s="7"/>
    </row>
    <row r="154" ht="22.5" customHeight="1">
      <c r="A154" s="4">
        <v>45914.54735811343</v>
      </c>
      <c r="B154" s="5" t="s">
        <v>358</v>
      </c>
      <c r="C154" s="5" t="s">
        <v>19</v>
      </c>
      <c r="D154" s="5" t="s">
        <v>359</v>
      </c>
      <c r="E154" s="5">
        <v>2.4083010071E10</v>
      </c>
      <c r="F154" s="5" t="s">
        <v>150</v>
      </c>
      <c r="G154" s="5" t="s">
        <v>267</v>
      </c>
      <c r="H154" s="5">
        <v>6.281357561927E12</v>
      </c>
      <c r="I154" s="5">
        <v>10.0</v>
      </c>
      <c r="J154" s="5" t="s">
        <v>23</v>
      </c>
      <c r="K154" s="5">
        <v>4.0</v>
      </c>
      <c r="L154" s="5">
        <v>2.0</v>
      </c>
      <c r="M154" s="5" t="s">
        <v>24</v>
      </c>
      <c r="N154" s="5" t="s">
        <v>25</v>
      </c>
      <c r="O154" s="5" t="s">
        <v>35</v>
      </c>
      <c r="P154" s="5">
        <v>4.0</v>
      </c>
      <c r="Q154" s="5">
        <v>3.0</v>
      </c>
      <c r="R154" s="5">
        <v>2.0</v>
      </c>
      <c r="V154" s="7"/>
    </row>
    <row r="155" ht="22.5" customHeight="1">
      <c r="A155" s="4">
        <v>45910.42211667824</v>
      </c>
      <c r="B155" s="5" t="s">
        <v>360</v>
      </c>
      <c r="C155" s="5" t="s">
        <v>19</v>
      </c>
      <c r="D155" s="5" t="s">
        <v>361</v>
      </c>
      <c r="E155" s="5">
        <v>2.2082010199E10</v>
      </c>
      <c r="F155" s="5" t="s">
        <v>150</v>
      </c>
      <c r="G155" s="5" t="s">
        <v>362</v>
      </c>
      <c r="H155" s="5">
        <v>6.2812317436E12</v>
      </c>
      <c r="I155" s="6">
        <v>4.0</v>
      </c>
      <c r="J155" s="5" t="s">
        <v>23</v>
      </c>
      <c r="K155" s="6">
        <v>1.0</v>
      </c>
      <c r="L155" s="6">
        <v>3.0</v>
      </c>
      <c r="M155" s="5" t="s">
        <v>24</v>
      </c>
      <c r="N155" s="5" t="s">
        <v>25</v>
      </c>
      <c r="O155" s="5" t="s">
        <v>26</v>
      </c>
      <c r="P155" s="6">
        <v>3.0</v>
      </c>
      <c r="Q155" s="6">
        <v>3.0</v>
      </c>
      <c r="R155" s="6">
        <v>2.0</v>
      </c>
      <c r="V155" s="7"/>
    </row>
    <row r="156" ht="22.5" customHeight="1">
      <c r="A156" s="4">
        <v>45910.471956574074</v>
      </c>
      <c r="B156" s="5" t="s">
        <v>363</v>
      </c>
      <c r="C156" s="5" t="s">
        <v>19</v>
      </c>
      <c r="D156" s="5" t="s">
        <v>364</v>
      </c>
      <c r="E156" s="5">
        <v>2.1082010183E10</v>
      </c>
      <c r="F156" s="5" t="s">
        <v>150</v>
      </c>
      <c r="G156" s="5" t="s">
        <v>362</v>
      </c>
      <c r="H156" s="5">
        <v>6.28133644828E12</v>
      </c>
      <c r="I156" s="6">
        <v>44.0</v>
      </c>
      <c r="J156" s="5" t="s">
        <v>34</v>
      </c>
      <c r="K156" s="6">
        <v>7.0</v>
      </c>
      <c r="L156" s="6">
        <v>5.0</v>
      </c>
      <c r="M156" s="5" t="s">
        <v>24</v>
      </c>
      <c r="N156" s="5" t="s">
        <v>25</v>
      </c>
      <c r="O156" s="5" t="s">
        <v>26</v>
      </c>
      <c r="P156" s="6">
        <v>5.0</v>
      </c>
      <c r="Q156" s="6">
        <v>5.0</v>
      </c>
      <c r="R156" s="6">
        <v>4.0</v>
      </c>
      <c r="V156" s="7"/>
    </row>
    <row r="157" ht="22.5" customHeight="1">
      <c r="A157" s="4">
        <v>45910.48506755787</v>
      </c>
      <c r="B157" s="5" t="s">
        <v>365</v>
      </c>
      <c r="C157" s="5" t="s">
        <v>19</v>
      </c>
      <c r="D157" s="5" t="s">
        <v>366</v>
      </c>
      <c r="E157" s="5">
        <v>2.4082010245E10</v>
      </c>
      <c r="F157" s="5" t="s">
        <v>150</v>
      </c>
      <c r="G157" s="5" t="s">
        <v>362</v>
      </c>
      <c r="H157" s="5">
        <v>6.283178904699E12</v>
      </c>
      <c r="I157" s="6">
        <v>5.0</v>
      </c>
      <c r="J157" s="5" t="s">
        <v>96</v>
      </c>
      <c r="K157" s="6">
        <v>6.0</v>
      </c>
      <c r="L157" s="6">
        <v>5.0</v>
      </c>
      <c r="M157" s="5" t="s">
        <v>49</v>
      </c>
      <c r="N157" s="5" t="s">
        <v>25</v>
      </c>
      <c r="O157" s="5" t="s">
        <v>26</v>
      </c>
      <c r="P157" s="6">
        <v>5.0</v>
      </c>
      <c r="Q157" s="6">
        <v>5.0</v>
      </c>
      <c r="R157" s="6">
        <v>1.0</v>
      </c>
      <c r="V157" s="7"/>
    </row>
    <row r="158" ht="22.5" customHeight="1">
      <c r="A158" s="4">
        <v>45910.81118877315</v>
      </c>
      <c r="B158" s="5" t="s">
        <v>367</v>
      </c>
      <c r="C158" s="5" t="s">
        <v>19</v>
      </c>
      <c r="D158" s="5" t="s">
        <v>368</v>
      </c>
      <c r="E158" s="5">
        <v>2.5082010169E10</v>
      </c>
      <c r="F158" s="5" t="s">
        <v>150</v>
      </c>
      <c r="G158" s="5" t="s">
        <v>362</v>
      </c>
      <c r="H158" s="5">
        <v>6.283852385937E12</v>
      </c>
      <c r="I158" s="6">
        <v>4.0</v>
      </c>
      <c r="J158" s="5" t="s">
        <v>23</v>
      </c>
      <c r="K158" s="6">
        <v>4.0</v>
      </c>
      <c r="L158" s="6">
        <v>1.0</v>
      </c>
      <c r="M158" s="5" t="s">
        <v>46</v>
      </c>
      <c r="N158" s="5" t="s">
        <v>25</v>
      </c>
      <c r="O158" s="5" t="s">
        <v>29</v>
      </c>
      <c r="P158" s="6">
        <v>3.0</v>
      </c>
      <c r="Q158" s="6">
        <v>4.0</v>
      </c>
      <c r="R158" s="6">
        <v>4.0</v>
      </c>
      <c r="V158" s="7"/>
    </row>
    <row r="159" ht="22.5" customHeight="1">
      <c r="A159" s="4">
        <v>45910.654258078706</v>
      </c>
      <c r="B159" s="5" t="s">
        <v>369</v>
      </c>
      <c r="C159" s="5" t="s">
        <v>19</v>
      </c>
      <c r="D159" s="5" t="s">
        <v>370</v>
      </c>
      <c r="E159" s="5">
        <v>2.4032010068E10</v>
      </c>
      <c r="F159" s="5" t="s">
        <v>160</v>
      </c>
      <c r="G159" s="5" t="s">
        <v>371</v>
      </c>
      <c r="H159" s="5">
        <v>6.287707001308E12</v>
      </c>
      <c r="I159" s="6">
        <v>10.0</v>
      </c>
      <c r="J159" s="5" t="s">
        <v>34</v>
      </c>
      <c r="K159" s="6">
        <v>5.0</v>
      </c>
      <c r="L159" s="6">
        <v>3.0</v>
      </c>
      <c r="M159" s="5" t="s">
        <v>46</v>
      </c>
      <c r="N159" s="5" t="s">
        <v>25</v>
      </c>
      <c r="O159" s="5" t="s">
        <v>26</v>
      </c>
      <c r="P159" s="6">
        <v>4.0</v>
      </c>
      <c r="Q159" s="6">
        <v>5.0</v>
      </c>
      <c r="R159" s="6">
        <v>3.0</v>
      </c>
      <c r="V159" s="7"/>
    </row>
    <row r="160" ht="22.5" customHeight="1">
      <c r="A160" s="4">
        <v>45910.429864826394</v>
      </c>
      <c r="B160" s="5" t="s">
        <v>372</v>
      </c>
      <c r="C160" s="5" t="s">
        <v>19</v>
      </c>
      <c r="D160" s="5" t="s">
        <v>373</v>
      </c>
      <c r="E160" s="5">
        <v>2.4031010047E10</v>
      </c>
      <c r="F160" s="5" t="s">
        <v>160</v>
      </c>
      <c r="G160" s="5" t="s">
        <v>374</v>
      </c>
      <c r="H160" s="5">
        <v>6.289516579376E12</v>
      </c>
      <c r="I160" s="6">
        <v>6.0</v>
      </c>
      <c r="J160" s="5" t="s">
        <v>96</v>
      </c>
      <c r="K160" s="6">
        <v>5.0</v>
      </c>
      <c r="L160" s="6">
        <v>5.0</v>
      </c>
      <c r="M160" s="5" t="s">
        <v>49</v>
      </c>
      <c r="N160" s="5" t="s">
        <v>25</v>
      </c>
      <c r="O160" s="5" t="s">
        <v>26</v>
      </c>
      <c r="P160" s="6">
        <v>5.0</v>
      </c>
      <c r="Q160" s="6">
        <v>5.0</v>
      </c>
      <c r="R160" s="6">
        <v>3.0</v>
      </c>
      <c r="V160" s="7"/>
    </row>
    <row r="161" ht="22.5" customHeight="1">
      <c r="A161" s="4">
        <v>45911.461879236114</v>
      </c>
      <c r="B161" s="5" t="s">
        <v>375</v>
      </c>
      <c r="C161" s="5" t="s">
        <v>19</v>
      </c>
      <c r="D161" s="5" t="s">
        <v>376</v>
      </c>
      <c r="E161" s="5">
        <v>2.4035010018E10</v>
      </c>
      <c r="F161" s="5" t="s">
        <v>160</v>
      </c>
      <c r="G161" s="5" t="s">
        <v>377</v>
      </c>
      <c r="H161" s="5">
        <v>6.285852303961E12</v>
      </c>
      <c r="I161" s="5">
        <v>1.0</v>
      </c>
      <c r="J161" s="5" t="s">
        <v>34</v>
      </c>
      <c r="K161" s="5">
        <v>7.0</v>
      </c>
      <c r="L161" s="5">
        <v>7.0</v>
      </c>
      <c r="M161" s="5" t="s">
        <v>46</v>
      </c>
      <c r="N161" s="5" t="s">
        <v>25</v>
      </c>
      <c r="O161" s="5" t="s">
        <v>26</v>
      </c>
      <c r="P161" s="5">
        <v>5.0</v>
      </c>
      <c r="Q161" s="5">
        <v>5.0</v>
      </c>
      <c r="R161" s="5">
        <v>4.0</v>
      </c>
      <c r="V161" s="7"/>
    </row>
    <row r="162" ht="22.5" customHeight="1">
      <c r="A162" s="4">
        <v>45911.462079375</v>
      </c>
      <c r="B162" s="5" t="s">
        <v>378</v>
      </c>
      <c r="C162" s="5" t="s">
        <v>19</v>
      </c>
      <c r="D162" s="5" t="s">
        <v>379</v>
      </c>
      <c r="E162" s="5">
        <v>2.4035010168E10</v>
      </c>
      <c r="F162" s="5" t="s">
        <v>160</v>
      </c>
      <c r="G162" s="5" t="s">
        <v>377</v>
      </c>
      <c r="H162" s="5">
        <v>6.281559747734E12</v>
      </c>
      <c r="I162" s="5">
        <v>2.0</v>
      </c>
      <c r="J162" s="5" t="s">
        <v>23</v>
      </c>
      <c r="K162" s="5">
        <v>6.0</v>
      </c>
      <c r="L162" s="5">
        <v>4.0</v>
      </c>
      <c r="M162" s="5" t="s">
        <v>64</v>
      </c>
      <c r="N162" s="5" t="s">
        <v>25</v>
      </c>
      <c r="O162" s="5" t="s">
        <v>26</v>
      </c>
      <c r="P162" s="5">
        <v>4.0</v>
      </c>
      <c r="Q162" s="5">
        <v>4.0</v>
      </c>
      <c r="R162" s="5">
        <v>6.0</v>
      </c>
      <c r="V162" s="7"/>
    </row>
    <row r="163" ht="22.5" customHeight="1">
      <c r="A163" s="4">
        <v>45911.46242121528</v>
      </c>
      <c r="B163" s="5" t="s">
        <v>380</v>
      </c>
      <c r="C163" s="5" t="s">
        <v>19</v>
      </c>
      <c r="D163" s="5" t="s">
        <v>381</v>
      </c>
      <c r="E163" s="5">
        <v>2.403501019E10</v>
      </c>
      <c r="F163" s="5" t="s">
        <v>160</v>
      </c>
      <c r="G163" s="5" t="s">
        <v>377</v>
      </c>
      <c r="H163" s="5">
        <v>6.285708564036E12</v>
      </c>
      <c r="I163" s="5">
        <v>2.0</v>
      </c>
      <c r="J163" s="5" t="s">
        <v>23</v>
      </c>
      <c r="K163" s="5">
        <v>6.0</v>
      </c>
      <c r="L163" s="5">
        <v>6.0</v>
      </c>
      <c r="M163" s="5" t="s">
        <v>24</v>
      </c>
      <c r="N163" s="5" t="s">
        <v>25</v>
      </c>
      <c r="O163" s="5" t="s">
        <v>26</v>
      </c>
      <c r="P163" s="5">
        <v>4.0</v>
      </c>
      <c r="Q163" s="5">
        <v>5.0</v>
      </c>
      <c r="R163" s="5">
        <v>5.0</v>
      </c>
      <c r="V163" s="7"/>
    </row>
    <row r="164" ht="22.5" customHeight="1">
      <c r="A164" s="4">
        <v>45911.474498807875</v>
      </c>
      <c r="B164" s="5" t="s">
        <v>382</v>
      </c>
      <c r="C164" s="5" t="s">
        <v>19</v>
      </c>
      <c r="D164" s="5" t="s">
        <v>383</v>
      </c>
      <c r="E164" s="5">
        <v>2.4035010046E10</v>
      </c>
      <c r="F164" s="5" t="s">
        <v>160</v>
      </c>
      <c r="G164" s="5" t="s">
        <v>377</v>
      </c>
      <c r="H164" s="5">
        <v>6.281296638E11</v>
      </c>
      <c r="I164" s="5">
        <v>4.0</v>
      </c>
      <c r="J164" s="5" t="s">
        <v>96</v>
      </c>
      <c r="K164" s="5">
        <v>5.0</v>
      </c>
      <c r="L164" s="5">
        <v>3.0</v>
      </c>
      <c r="M164" s="5" t="s">
        <v>24</v>
      </c>
      <c r="N164" s="5" t="s">
        <v>25</v>
      </c>
      <c r="O164" s="5" t="s">
        <v>35</v>
      </c>
      <c r="P164" s="5">
        <v>4.0</v>
      </c>
      <c r="Q164" s="5">
        <v>3.0</v>
      </c>
      <c r="R164" s="5">
        <v>3.0</v>
      </c>
      <c r="V164" s="7"/>
    </row>
    <row r="165" ht="22.5" customHeight="1">
      <c r="A165" s="4">
        <v>45911.81855943287</v>
      </c>
      <c r="B165" s="5" t="s">
        <v>384</v>
      </c>
      <c r="C165" s="5" t="s">
        <v>19</v>
      </c>
      <c r="D165" s="5" t="s">
        <v>385</v>
      </c>
      <c r="E165" s="5">
        <v>2.4035010152E10</v>
      </c>
      <c r="F165" s="5" t="s">
        <v>160</v>
      </c>
      <c r="G165" s="5" t="s">
        <v>377</v>
      </c>
      <c r="H165" s="5">
        <v>6.2895364715063E13</v>
      </c>
      <c r="I165" s="5">
        <v>7.0</v>
      </c>
      <c r="J165" s="5" t="s">
        <v>23</v>
      </c>
      <c r="K165" s="5">
        <v>4.0</v>
      </c>
      <c r="L165" s="5">
        <v>4.0</v>
      </c>
      <c r="M165" s="5" t="s">
        <v>24</v>
      </c>
      <c r="N165" s="5" t="s">
        <v>25</v>
      </c>
      <c r="O165" s="5" t="s">
        <v>29</v>
      </c>
      <c r="P165" s="5">
        <v>4.0</v>
      </c>
      <c r="Q165" s="5">
        <v>5.0</v>
      </c>
      <c r="R165" s="5">
        <v>2.0</v>
      </c>
      <c r="V165" s="7"/>
    </row>
    <row r="166">
      <c r="I166" s="8"/>
      <c r="K166" s="8"/>
      <c r="L166" s="8"/>
      <c r="P166" s="8"/>
      <c r="Q166" s="8"/>
      <c r="R166" s="8"/>
      <c r="U166" s="8"/>
      <c r="V166" s="7"/>
    </row>
    <row r="167">
      <c r="H167" s="14"/>
      <c r="I167" s="8"/>
      <c r="K167" s="8"/>
      <c r="L167" s="8"/>
      <c r="P167" s="8"/>
      <c r="Q167" s="8"/>
      <c r="R167" s="8"/>
      <c r="U167" s="8"/>
      <c r="V167" s="7"/>
    </row>
    <row r="168">
      <c r="I168" s="8"/>
      <c r="K168" s="8"/>
      <c r="L168" s="8"/>
      <c r="P168" s="8"/>
      <c r="Q168" s="8"/>
      <c r="R168" s="8"/>
      <c r="U168" s="8"/>
      <c r="V168" s="7"/>
    </row>
    <row r="169">
      <c r="I169" s="8"/>
      <c r="K169" s="8"/>
      <c r="L169" s="8"/>
      <c r="P169" s="8"/>
      <c r="Q169" s="8"/>
      <c r="R169" s="8"/>
      <c r="U169" s="8"/>
      <c r="V169" s="7"/>
    </row>
    <row r="170">
      <c r="I170" s="8"/>
      <c r="K170" s="8"/>
      <c r="L170" s="8"/>
      <c r="P170" s="8"/>
      <c r="Q170" s="8"/>
      <c r="R170" s="8"/>
      <c r="U170" s="8"/>
      <c r="V170" s="7"/>
    </row>
    <row r="171">
      <c r="I171" s="8"/>
      <c r="K171" s="8"/>
      <c r="L171" s="8"/>
      <c r="P171" s="8"/>
      <c r="Q171" s="8"/>
      <c r="R171" s="8"/>
      <c r="U171" s="8"/>
      <c r="V171" s="7"/>
    </row>
    <row r="172">
      <c r="I172" s="8"/>
      <c r="K172" s="8"/>
      <c r="L172" s="8"/>
      <c r="P172" s="8"/>
      <c r="Q172" s="8"/>
      <c r="R172" s="8"/>
      <c r="U172" s="8"/>
      <c r="V172" s="7"/>
    </row>
    <row r="173">
      <c r="I173" s="8"/>
      <c r="K173" s="8"/>
      <c r="L173" s="8"/>
      <c r="P173" s="8"/>
      <c r="Q173" s="8"/>
      <c r="R173" s="8"/>
      <c r="U173" s="8"/>
      <c r="V173" s="7" t="str">
        <f t="shared" ref="V173:V265" si="1">LEFT(E173,5)</f>
        <v/>
      </c>
      <c r="W173" s="15" t="str">
        <f t="shared" ref="W173:W254" si="2">MID(V173,4,1)</f>
        <v/>
      </c>
    </row>
    <row r="174">
      <c r="I174" s="8"/>
      <c r="K174" s="8"/>
      <c r="L174" s="8"/>
      <c r="P174" s="8"/>
      <c r="Q174" s="8"/>
      <c r="R174" s="8"/>
      <c r="U174" s="8"/>
      <c r="V174" s="7" t="str">
        <f t="shared" si="1"/>
        <v/>
      </c>
      <c r="W174" s="15" t="str">
        <f t="shared" si="2"/>
        <v/>
      </c>
    </row>
    <row r="175">
      <c r="I175" s="8"/>
      <c r="K175" s="8"/>
      <c r="L175" s="8"/>
      <c r="P175" s="8"/>
      <c r="Q175" s="8"/>
      <c r="R175" s="8"/>
      <c r="U175" s="8"/>
      <c r="V175" s="7" t="str">
        <f t="shared" si="1"/>
        <v/>
      </c>
      <c r="W175" s="15" t="str">
        <f t="shared" si="2"/>
        <v/>
      </c>
    </row>
    <row r="176">
      <c r="I176" s="8"/>
      <c r="K176" s="8"/>
      <c r="L176" s="8"/>
      <c r="P176" s="8"/>
      <c r="Q176" s="8"/>
      <c r="R176" s="8"/>
      <c r="U176" s="8"/>
      <c r="V176" s="7" t="str">
        <f t="shared" si="1"/>
        <v/>
      </c>
      <c r="W176" s="15" t="str">
        <f t="shared" si="2"/>
        <v/>
      </c>
    </row>
    <row r="177">
      <c r="I177" s="8"/>
      <c r="K177" s="8"/>
      <c r="L177" s="8"/>
      <c r="P177" s="8"/>
      <c r="Q177" s="8"/>
      <c r="R177" s="8"/>
      <c r="U177" s="8"/>
      <c r="V177" s="7" t="str">
        <f t="shared" si="1"/>
        <v/>
      </c>
      <c r="W177" s="15" t="str">
        <f t="shared" si="2"/>
        <v/>
      </c>
    </row>
    <row r="178">
      <c r="I178" s="8"/>
      <c r="K178" s="8"/>
      <c r="L178" s="8"/>
      <c r="P178" s="8"/>
      <c r="Q178" s="8"/>
      <c r="R178" s="8"/>
      <c r="U178" s="8"/>
      <c r="V178" s="7" t="str">
        <f t="shared" si="1"/>
        <v/>
      </c>
      <c r="W178" s="15" t="str">
        <f t="shared" si="2"/>
        <v/>
      </c>
    </row>
    <row r="179">
      <c r="I179" s="8"/>
      <c r="K179" s="8"/>
      <c r="L179" s="8"/>
      <c r="P179" s="8"/>
      <c r="Q179" s="8"/>
      <c r="R179" s="8"/>
      <c r="U179" s="8"/>
      <c r="V179" s="7" t="str">
        <f t="shared" si="1"/>
        <v/>
      </c>
      <c r="W179" s="15" t="str">
        <f t="shared" si="2"/>
        <v/>
      </c>
    </row>
    <row r="180">
      <c r="I180" s="8"/>
      <c r="K180" s="8"/>
      <c r="L180" s="8"/>
      <c r="P180" s="8"/>
      <c r="Q180" s="8"/>
      <c r="R180" s="8"/>
      <c r="U180" s="8"/>
      <c r="V180" s="7" t="str">
        <f t="shared" si="1"/>
        <v/>
      </c>
      <c r="W180" s="15" t="str">
        <f t="shared" si="2"/>
        <v/>
      </c>
    </row>
    <row r="181">
      <c r="I181" s="8"/>
      <c r="K181" s="8"/>
      <c r="L181" s="8"/>
      <c r="P181" s="8"/>
      <c r="Q181" s="8"/>
      <c r="R181" s="8"/>
      <c r="U181" s="8"/>
      <c r="V181" s="7" t="str">
        <f t="shared" si="1"/>
        <v/>
      </c>
      <c r="W181" s="15" t="str">
        <f t="shared" si="2"/>
        <v/>
      </c>
    </row>
    <row r="182">
      <c r="I182" s="8"/>
      <c r="K182" s="8"/>
      <c r="L182" s="8"/>
      <c r="P182" s="8"/>
      <c r="Q182" s="8"/>
      <c r="R182" s="8"/>
      <c r="U182" s="8"/>
      <c r="V182" s="7" t="str">
        <f t="shared" si="1"/>
        <v/>
      </c>
      <c r="W182" s="15" t="str">
        <f t="shared" si="2"/>
        <v/>
      </c>
    </row>
    <row r="183">
      <c r="I183" s="8"/>
      <c r="K183" s="8"/>
      <c r="L183" s="8"/>
      <c r="P183" s="8"/>
      <c r="Q183" s="8"/>
      <c r="R183" s="8"/>
      <c r="U183" s="8"/>
      <c r="V183" s="7" t="str">
        <f t="shared" si="1"/>
        <v/>
      </c>
      <c r="W183" s="15" t="str">
        <f t="shared" si="2"/>
        <v/>
      </c>
    </row>
    <row r="184">
      <c r="I184" s="8"/>
      <c r="K184" s="8"/>
      <c r="L184" s="8"/>
      <c r="P184" s="8"/>
      <c r="Q184" s="8"/>
      <c r="R184" s="8"/>
      <c r="U184" s="8"/>
      <c r="V184" s="7" t="str">
        <f t="shared" si="1"/>
        <v/>
      </c>
      <c r="W184" s="15" t="str">
        <f t="shared" si="2"/>
        <v/>
      </c>
    </row>
    <row r="185">
      <c r="I185" s="8"/>
      <c r="K185" s="8"/>
      <c r="L185" s="8"/>
      <c r="P185" s="8"/>
      <c r="Q185" s="8"/>
      <c r="R185" s="8"/>
      <c r="U185" s="8"/>
      <c r="V185" s="7" t="str">
        <f t="shared" si="1"/>
        <v/>
      </c>
      <c r="W185" s="15" t="str">
        <f t="shared" si="2"/>
        <v/>
      </c>
    </row>
    <row r="186">
      <c r="I186" s="8"/>
      <c r="K186" s="8"/>
      <c r="L186" s="8"/>
      <c r="P186" s="8"/>
      <c r="Q186" s="8"/>
      <c r="R186" s="8"/>
      <c r="U186" s="8"/>
      <c r="V186" s="7" t="str">
        <f t="shared" si="1"/>
        <v/>
      </c>
      <c r="W186" s="15" t="str">
        <f t="shared" si="2"/>
        <v/>
      </c>
    </row>
    <row r="187">
      <c r="I187" s="8"/>
      <c r="K187" s="8"/>
      <c r="L187" s="8"/>
      <c r="P187" s="8"/>
      <c r="Q187" s="8"/>
      <c r="R187" s="8"/>
      <c r="U187" s="8"/>
      <c r="V187" s="7" t="str">
        <f t="shared" si="1"/>
        <v/>
      </c>
      <c r="W187" s="15" t="str">
        <f t="shared" si="2"/>
        <v/>
      </c>
    </row>
    <row r="188">
      <c r="I188" s="8"/>
      <c r="K188" s="8"/>
      <c r="L188" s="8"/>
      <c r="P188" s="8"/>
      <c r="Q188" s="8"/>
      <c r="R188" s="8"/>
      <c r="U188" s="8"/>
      <c r="V188" s="7" t="str">
        <f t="shared" si="1"/>
        <v/>
      </c>
      <c r="W188" s="15" t="str">
        <f t="shared" si="2"/>
        <v/>
      </c>
    </row>
    <row r="189">
      <c r="I189" s="8"/>
      <c r="K189" s="8"/>
      <c r="L189" s="8"/>
      <c r="P189" s="8"/>
      <c r="Q189" s="8"/>
      <c r="R189" s="8"/>
      <c r="U189" s="8"/>
      <c r="V189" s="7" t="str">
        <f t="shared" si="1"/>
        <v/>
      </c>
      <c r="W189" s="15" t="str">
        <f t="shared" si="2"/>
        <v/>
      </c>
    </row>
    <row r="190">
      <c r="I190" s="8"/>
      <c r="K190" s="8"/>
      <c r="L190" s="8"/>
      <c r="P190" s="8"/>
      <c r="Q190" s="8"/>
      <c r="R190" s="8"/>
      <c r="U190" s="8"/>
      <c r="V190" s="7" t="str">
        <f t="shared" si="1"/>
        <v/>
      </c>
      <c r="W190" s="15" t="str">
        <f t="shared" si="2"/>
        <v/>
      </c>
    </row>
    <row r="191">
      <c r="I191" s="8"/>
      <c r="K191" s="8"/>
      <c r="L191" s="8"/>
      <c r="P191" s="8"/>
      <c r="Q191" s="8"/>
      <c r="R191" s="8"/>
      <c r="U191" s="8"/>
      <c r="V191" s="7" t="str">
        <f t="shared" si="1"/>
        <v/>
      </c>
      <c r="W191" s="15" t="str">
        <f t="shared" si="2"/>
        <v/>
      </c>
    </row>
    <row r="192">
      <c r="I192" s="8"/>
      <c r="K192" s="8"/>
      <c r="L192" s="8"/>
      <c r="P192" s="8"/>
      <c r="Q192" s="8"/>
      <c r="R192" s="8"/>
      <c r="U192" s="8"/>
      <c r="V192" s="7" t="str">
        <f t="shared" si="1"/>
        <v/>
      </c>
      <c r="W192" s="15" t="str">
        <f t="shared" si="2"/>
        <v/>
      </c>
    </row>
    <row r="193">
      <c r="I193" s="8"/>
      <c r="K193" s="8"/>
      <c r="L193" s="8"/>
      <c r="P193" s="8"/>
      <c r="Q193" s="8"/>
      <c r="R193" s="8"/>
      <c r="U193" s="8"/>
      <c r="V193" s="7" t="str">
        <f t="shared" si="1"/>
        <v/>
      </c>
      <c r="W193" s="15" t="str">
        <f t="shared" si="2"/>
        <v/>
      </c>
    </row>
    <row r="194">
      <c r="I194" s="8"/>
      <c r="K194" s="8"/>
      <c r="L194" s="8"/>
      <c r="P194" s="8"/>
      <c r="Q194" s="8"/>
      <c r="R194" s="8"/>
      <c r="U194" s="8"/>
      <c r="V194" s="7" t="str">
        <f t="shared" si="1"/>
        <v/>
      </c>
      <c r="W194" s="15" t="str">
        <f t="shared" si="2"/>
        <v/>
      </c>
    </row>
    <row r="195">
      <c r="I195" s="8"/>
      <c r="K195" s="8"/>
      <c r="L195" s="8"/>
      <c r="P195" s="8"/>
      <c r="Q195" s="8"/>
      <c r="R195" s="8"/>
      <c r="U195" s="8"/>
      <c r="V195" s="7" t="str">
        <f t="shared" si="1"/>
        <v/>
      </c>
      <c r="W195" s="15" t="str">
        <f t="shared" si="2"/>
        <v/>
      </c>
    </row>
    <row r="196">
      <c r="I196" s="8"/>
      <c r="K196" s="8"/>
      <c r="L196" s="8"/>
      <c r="P196" s="8"/>
      <c r="Q196" s="8"/>
      <c r="R196" s="8"/>
      <c r="U196" s="8"/>
      <c r="V196" s="7" t="str">
        <f t="shared" si="1"/>
        <v/>
      </c>
      <c r="W196" s="15" t="str">
        <f t="shared" si="2"/>
        <v/>
      </c>
    </row>
    <row r="197">
      <c r="I197" s="8"/>
      <c r="K197" s="8"/>
      <c r="L197" s="8"/>
      <c r="P197" s="8"/>
      <c r="Q197" s="8"/>
      <c r="R197" s="8"/>
      <c r="U197" s="8"/>
      <c r="V197" s="7" t="str">
        <f t="shared" si="1"/>
        <v/>
      </c>
      <c r="W197" s="15" t="str">
        <f t="shared" si="2"/>
        <v/>
      </c>
    </row>
    <row r="198">
      <c r="I198" s="8"/>
      <c r="K198" s="8"/>
      <c r="L198" s="8"/>
      <c r="P198" s="8"/>
      <c r="Q198" s="8"/>
      <c r="R198" s="8"/>
      <c r="U198" s="8"/>
      <c r="V198" s="7" t="str">
        <f t="shared" si="1"/>
        <v/>
      </c>
      <c r="W198" s="15" t="str">
        <f t="shared" si="2"/>
        <v/>
      </c>
    </row>
    <row r="199">
      <c r="I199" s="8"/>
      <c r="K199" s="8"/>
      <c r="L199" s="8"/>
      <c r="P199" s="8"/>
      <c r="Q199" s="8"/>
      <c r="R199" s="8"/>
      <c r="U199" s="8"/>
      <c r="V199" s="7" t="str">
        <f t="shared" si="1"/>
        <v/>
      </c>
      <c r="W199" s="15" t="str">
        <f t="shared" si="2"/>
        <v/>
      </c>
    </row>
    <row r="200">
      <c r="I200" s="8"/>
      <c r="K200" s="8"/>
      <c r="L200" s="8"/>
      <c r="P200" s="8"/>
      <c r="Q200" s="8"/>
      <c r="R200" s="8"/>
      <c r="U200" s="8"/>
      <c r="V200" s="7" t="str">
        <f t="shared" si="1"/>
        <v/>
      </c>
      <c r="W200" s="15" t="str">
        <f t="shared" si="2"/>
        <v/>
      </c>
    </row>
    <row r="201">
      <c r="I201" s="8"/>
      <c r="K201" s="8"/>
      <c r="L201" s="8"/>
      <c r="P201" s="8"/>
      <c r="Q201" s="8"/>
      <c r="R201" s="8"/>
      <c r="U201" s="8"/>
      <c r="V201" s="7" t="str">
        <f t="shared" si="1"/>
        <v/>
      </c>
      <c r="W201" s="15" t="str">
        <f t="shared" si="2"/>
        <v/>
      </c>
    </row>
    <row r="202">
      <c r="I202" s="8"/>
      <c r="K202" s="8"/>
      <c r="L202" s="8"/>
      <c r="P202" s="8"/>
      <c r="Q202" s="8"/>
      <c r="R202" s="8"/>
      <c r="U202" s="8"/>
      <c r="V202" s="7" t="str">
        <f t="shared" si="1"/>
        <v/>
      </c>
      <c r="W202" s="15" t="str">
        <f t="shared" si="2"/>
        <v/>
      </c>
    </row>
    <row r="203">
      <c r="I203" s="8"/>
      <c r="K203" s="8"/>
      <c r="L203" s="8"/>
      <c r="P203" s="8"/>
      <c r="Q203" s="8"/>
      <c r="R203" s="8"/>
      <c r="U203" s="8"/>
      <c r="V203" s="7" t="str">
        <f t="shared" si="1"/>
        <v/>
      </c>
      <c r="W203" s="15" t="str">
        <f t="shared" si="2"/>
        <v/>
      </c>
    </row>
    <row r="204">
      <c r="I204" s="8"/>
      <c r="K204" s="8"/>
      <c r="L204" s="8"/>
      <c r="P204" s="8"/>
      <c r="Q204" s="8"/>
      <c r="R204" s="8"/>
      <c r="U204" s="8"/>
      <c r="V204" s="7" t="str">
        <f t="shared" si="1"/>
        <v/>
      </c>
      <c r="W204" s="15" t="str">
        <f t="shared" si="2"/>
        <v/>
      </c>
    </row>
    <row r="205">
      <c r="I205" s="8"/>
      <c r="K205" s="8"/>
      <c r="L205" s="8"/>
      <c r="P205" s="8"/>
      <c r="Q205" s="8"/>
      <c r="R205" s="8"/>
      <c r="U205" s="8"/>
      <c r="V205" s="7" t="str">
        <f t="shared" si="1"/>
        <v/>
      </c>
      <c r="W205" s="15" t="str">
        <f t="shared" si="2"/>
        <v/>
      </c>
    </row>
    <row r="206">
      <c r="I206" s="8"/>
      <c r="K206" s="8"/>
      <c r="L206" s="8"/>
      <c r="P206" s="8"/>
      <c r="Q206" s="8"/>
      <c r="R206" s="8"/>
      <c r="U206" s="8"/>
      <c r="V206" s="7" t="str">
        <f t="shared" si="1"/>
        <v/>
      </c>
      <c r="W206" s="15" t="str">
        <f t="shared" si="2"/>
        <v/>
      </c>
    </row>
    <row r="207">
      <c r="I207" s="8"/>
      <c r="K207" s="8"/>
      <c r="L207" s="8"/>
      <c r="P207" s="8"/>
      <c r="Q207" s="8"/>
      <c r="R207" s="8"/>
      <c r="U207" s="8"/>
      <c r="V207" s="7" t="str">
        <f t="shared" si="1"/>
        <v/>
      </c>
      <c r="W207" s="15" t="str">
        <f t="shared" si="2"/>
        <v/>
      </c>
    </row>
    <row r="208">
      <c r="I208" s="8"/>
      <c r="K208" s="8"/>
      <c r="L208" s="8"/>
      <c r="P208" s="8"/>
      <c r="Q208" s="8"/>
      <c r="R208" s="8"/>
      <c r="U208" s="8"/>
      <c r="V208" s="7" t="str">
        <f t="shared" si="1"/>
        <v/>
      </c>
      <c r="W208" s="15" t="str">
        <f t="shared" si="2"/>
        <v/>
      </c>
    </row>
    <row r="209">
      <c r="I209" s="8"/>
      <c r="K209" s="8"/>
      <c r="L209" s="8"/>
      <c r="P209" s="8"/>
      <c r="Q209" s="8"/>
      <c r="R209" s="8"/>
      <c r="U209" s="8"/>
      <c r="V209" s="7" t="str">
        <f t="shared" si="1"/>
        <v/>
      </c>
      <c r="W209" s="15" t="str">
        <f t="shared" si="2"/>
        <v/>
      </c>
    </row>
    <row r="210">
      <c r="I210" s="8"/>
      <c r="K210" s="8"/>
      <c r="L210" s="8"/>
      <c r="P210" s="8"/>
      <c r="Q210" s="8"/>
      <c r="R210" s="8"/>
      <c r="U210" s="8"/>
      <c r="V210" s="7" t="str">
        <f t="shared" si="1"/>
        <v/>
      </c>
      <c r="W210" s="15" t="str">
        <f t="shared" si="2"/>
        <v/>
      </c>
    </row>
    <row r="211">
      <c r="I211" s="8"/>
      <c r="K211" s="8"/>
      <c r="L211" s="8"/>
      <c r="P211" s="8"/>
      <c r="Q211" s="8"/>
      <c r="R211" s="8"/>
      <c r="U211" s="8"/>
      <c r="V211" s="7" t="str">
        <f t="shared" si="1"/>
        <v/>
      </c>
      <c r="W211" s="15" t="str">
        <f t="shared" si="2"/>
        <v/>
      </c>
    </row>
    <row r="212">
      <c r="I212" s="8"/>
      <c r="K212" s="8"/>
      <c r="L212" s="8"/>
      <c r="P212" s="8"/>
      <c r="Q212" s="8"/>
      <c r="R212" s="8"/>
      <c r="U212" s="8"/>
      <c r="V212" s="7" t="str">
        <f t="shared" si="1"/>
        <v/>
      </c>
      <c r="W212" s="15" t="str">
        <f t="shared" si="2"/>
        <v/>
      </c>
    </row>
    <row r="213">
      <c r="I213" s="8"/>
      <c r="K213" s="8"/>
      <c r="L213" s="8"/>
      <c r="P213" s="8"/>
      <c r="Q213" s="8"/>
      <c r="R213" s="8"/>
      <c r="U213" s="8"/>
      <c r="V213" s="7" t="str">
        <f t="shared" si="1"/>
        <v/>
      </c>
      <c r="W213" s="15" t="str">
        <f t="shared" si="2"/>
        <v/>
      </c>
    </row>
    <row r="214">
      <c r="I214" s="8"/>
      <c r="K214" s="8"/>
      <c r="L214" s="8"/>
      <c r="P214" s="8"/>
      <c r="Q214" s="8"/>
      <c r="R214" s="8"/>
      <c r="U214" s="8"/>
      <c r="V214" s="7" t="str">
        <f t="shared" si="1"/>
        <v/>
      </c>
      <c r="W214" s="15" t="str">
        <f t="shared" si="2"/>
        <v/>
      </c>
    </row>
    <row r="215">
      <c r="I215" s="8"/>
      <c r="K215" s="8"/>
      <c r="L215" s="8"/>
      <c r="P215" s="8"/>
      <c r="Q215" s="8"/>
      <c r="R215" s="8"/>
      <c r="U215" s="8"/>
      <c r="V215" s="7" t="str">
        <f t="shared" si="1"/>
        <v/>
      </c>
      <c r="W215" s="15" t="str">
        <f t="shared" si="2"/>
        <v/>
      </c>
    </row>
    <row r="216">
      <c r="I216" s="8"/>
      <c r="K216" s="8"/>
      <c r="L216" s="8"/>
      <c r="P216" s="8"/>
      <c r="Q216" s="8"/>
      <c r="R216" s="8"/>
      <c r="U216" s="8"/>
      <c r="V216" s="7" t="str">
        <f t="shared" si="1"/>
        <v/>
      </c>
      <c r="W216" s="15" t="str">
        <f t="shared" si="2"/>
        <v/>
      </c>
    </row>
    <row r="217">
      <c r="I217" s="8"/>
      <c r="K217" s="8"/>
      <c r="L217" s="8"/>
      <c r="P217" s="8"/>
      <c r="Q217" s="8"/>
      <c r="R217" s="8"/>
      <c r="U217" s="8"/>
      <c r="V217" s="7" t="str">
        <f t="shared" si="1"/>
        <v/>
      </c>
      <c r="W217" s="15" t="str">
        <f t="shared" si="2"/>
        <v/>
      </c>
    </row>
    <row r="218">
      <c r="I218" s="8"/>
      <c r="K218" s="8"/>
      <c r="L218" s="8"/>
      <c r="P218" s="8"/>
      <c r="Q218" s="8"/>
      <c r="R218" s="8"/>
      <c r="U218" s="8"/>
      <c r="V218" s="7" t="str">
        <f t="shared" si="1"/>
        <v/>
      </c>
      <c r="W218" s="15" t="str">
        <f t="shared" si="2"/>
        <v/>
      </c>
    </row>
    <row r="219">
      <c r="I219" s="8"/>
      <c r="K219" s="8"/>
      <c r="L219" s="8"/>
      <c r="P219" s="8"/>
      <c r="Q219" s="8"/>
      <c r="R219" s="8"/>
      <c r="U219" s="8"/>
      <c r="V219" s="7" t="str">
        <f t="shared" si="1"/>
        <v/>
      </c>
      <c r="W219" s="15" t="str">
        <f t="shared" si="2"/>
        <v/>
      </c>
    </row>
    <row r="220">
      <c r="I220" s="8"/>
      <c r="K220" s="8"/>
      <c r="L220" s="8"/>
      <c r="P220" s="8"/>
      <c r="Q220" s="8"/>
      <c r="R220" s="8"/>
      <c r="U220" s="8"/>
      <c r="V220" s="7" t="str">
        <f t="shared" si="1"/>
        <v/>
      </c>
      <c r="W220" s="15" t="str">
        <f t="shared" si="2"/>
        <v/>
      </c>
    </row>
    <row r="221">
      <c r="I221" s="8"/>
      <c r="K221" s="8"/>
      <c r="L221" s="8"/>
      <c r="P221" s="8"/>
      <c r="Q221" s="8"/>
      <c r="R221" s="8"/>
      <c r="U221" s="8"/>
      <c r="V221" s="7" t="str">
        <f t="shared" si="1"/>
        <v/>
      </c>
      <c r="W221" s="15" t="str">
        <f t="shared" si="2"/>
        <v/>
      </c>
    </row>
    <row r="222">
      <c r="I222" s="8"/>
      <c r="K222" s="8"/>
      <c r="L222" s="8"/>
      <c r="P222" s="8"/>
      <c r="Q222" s="8"/>
      <c r="R222" s="8"/>
      <c r="U222" s="8"/>
      <c r="V222" s="7" t="str">
        <f t="shared" si="1"/>
        <v/>
      </c>
      <c r="W222" s="15" t="str">
        <f t="shared" si="2"/>
        <v/>
      </c>
    </row>
    <row r="223">
      <c r="I223" s="8"/>
      <c r="K223" s="8"/>
      <c r="L223" s="8"/>
      <c r="P223" s="8"/>
      <c r="Q223" s="8"/>
      <c r="R223" s="8"/>
      <c r="U223" s="8"/>
      <c r="V223" s="7" t="str">
        <f t="shared" si="1"/>
        <v/>
      </c>
      <c r="W223" s="15" t="str">
        <f t="shared" si="2"/>
        <v/>
      </c>
    </row>
    <row r="224">
      <c r="I224" s="8"/>
      <c r="K224" s="8"/>
      <c r="L224" s="8"/>
      <c r="P224" s="8"/>
      <c r="Q224" s="8"/>
      <c r="R224" s="8"/>
      <c r="U224" s="8"/>
      <c r="V224" s="7" t="str">
        <f t="shared" si="1"/>
        <v/>
      </c>
      <c r="W224" s="15" t="str">
        <f t="shared" si="2"/>
        <v/>
      </c>
    </row>
    <row r="225">
      <c r="I225" s="8"/>
      <c r="K225" s="8"/>
      <c r="L225" s="8"/>
      <c r="P225" s="8"/>
      <c r="Q225" s="8"/>
      <c r="R225" s="8"/>
      <c r="U225" s="8"/>
      <c r="V225" s="7" t="str">
        <f t="shared" si="1"/>
        <v/>
      </c>
      <c r="W225" s="15" t="str">
        <f t="shared" si="2"/>
        <v/>
      </c>
    </row>
    <row r="226">
      <c r="I226" s="8"/>
      <c r="K226" s="8"/>
      <c r="L226" s="8"/>
      <c r="P226" s="8"/>
      <c r="Q226" s="8"/>
      <c r="R226" s="8"/>
      <c r="U226" s="8"/>
      <c r="V226" s="7" t="str">
        <f t="shared" si="1"/>
        <v/>
      </c>
      <c r="W226" s="15" t="str">
        <f t="shared" si="2"/>
        <v/>
      </c>
    </row>
    <row r="227">
      <c r="I227" s="8"/>
      <c r="K227" s="8"/>
      <c r="L227" s="8"/>
      <c r="P227" s="8"/>
      <c r="Q227" s="8"/>
      <c r="R227" s="8"/>
      <c r="U227" s="8"/>
      <c r="V227" s="7" t="str">
        <f t="shared" si="1"/>
        <v/>
      </c>
      <c r="W227" s="15" t="str">
        <f t="shared" si="2"/>
        <v/>
      </c>
    </row>
    <row r="228">
      <c r="I228" s="8"/>
      <c r="K228" s="8"/>
      <c r="L228" s="8"/>
      <c r="P228" s="8"/>
      <c r="Q228" s="8"/>
      <c r="R228" s="8"/>
      <c r="U228" s="8"/>
      <c r="V228" s="7" t="str">
        <f t="shared" si="1"/>
        <v/>
      </c>
      <c r="W228" s="15" t="str">
        <f t="shared" si="2"/>
        <v/>
      </c>
    </row>
    <row r="229">
      <c r="I229" s="8"/>
      <c r="K229" s="8"/>
      <c r="L229" s="8"/>
      <c r="P229" s="8"/>
      <c r="Q229" s="8"/>
      <c r="R229" s="8"/>
      <c r="U229" s="8"/>
      <c r="V229" s="7" t="str">
        <f t="shared" si="1"/>
        <v/>
      </c>
      <c r="W229" s="15" t="str">
        <f t="shared" si="2"/>
        <v/>
      </c>
    </row>
    <row r="230">
      <c r="I230" s="8"/>
      <c r="K230" s="8"/>
      <c r="L230" s="8"/>
      <c r="P230" s="8"/>
      <c r="Q230" s="8"/>
      <c r="R230" s="8"/>
      <c r="U230" s="8"/>
      <c r="V230" s="7" t="str">
        <f t="shared" si="1"/>
        <v/>
      </c>
      <c r="W230" s="15" t="str">
        <f t="shared" si="2"/>
        <v/>
      </c>
    </row>
    <row r="231">
      <c r="I231" s="8"/>
      <c r="K231" s="8"/>
      <c r="L231" s="8"/>
      <c r="P231" s="8"/>
      <c r="Q231" s="8"/>
      <c r="R231" s="8"/>
      <c r="U231" s="8"/>
      <c r="V231" s="7" t="str">
        <f t="shared" si="1"/>
        <v/>
      </c>
      <c r="W231" s="15" t="str">
        <f t="shared" si="2"/>
        <v/>
      </c>
    </row>
    <row r="232">
      <c r="I232" s="8"/>
      <c r="K232" s="8"/>
      <c r="L232" s="8"/>
      <c r="P232" s="8"/>
      <c r="Q232" s="8"/>
      <c r="R232" s="8"/>
      <c r="U232" s="8"/>
      <c r="V232" s="7" t="str">
        <f t="shared" si="1"/>
        <v/>
      </c>
      <c r="W232" s="15" t="str">
        <f t="shared" si="2"/>
        <v/>
      </c>
    </row>
    <row r="233">
      <c r="I233" s="8"/>
      <c r="K233" s="8"/>
      <c r="L233" s="8"/>
      <c r="P233" s="8"/>
      <c r="Q233" s="8"/>
      <c r="R233" s="8"/>
      <c r="U233" s="8"/>
      <c r="V233" s="7" t="str">
        <f t="shared" si="1"/>
        <v/>
      </c>
      <c r="W233" s="15" t="str">
        <f t="shared" si="2"/>
        <v/>
      </c>
    </row>
    <row r="234">
      <c r="I234" s="8"/>
      <c r="K234" s="8"/>
      <c r="L234" s="8"/>
      <c r="P234" s="8"/>
      <c r="Q234" s="8"/>
      <c r="R234" s="8"/>
      <c r="U234" s="8"/>
      <c r="V234" s="7" t="str">
        <f t="shared" si="1"/>
        <v/>
      </c>
      <c r="W234" s="15" t="str">
        <f t="shared" si="2"/>
        <v/>
      </c>
    </row>
    <row r="235">
      <c r="I235" s="8"/>
      <c r="K235" s="8"/>
      <c r="L235" s="8"/>
      <c r="P235" s="8"/>
      <c r="Q235" s="8"/>
      <c r="R235" s="8"/>
      <c r="U235" s="8"/>
      <c r="V235" s="7" t="str">
        <f t="shared" si="1"/>
        <v/>
      </c>
      <c r="W235" s="15" t="str">
        <f t="shared" si="2"/>
        <v/>
      </c>
    </row>
    <row r="236">
      <c r="I236" s="8"/>
      <c r="K236" s="8"/>
      <c r="L236" s="8"/>
      <c r="P236" s="8"/>
      <c r="Q236" s="8"/>
      <c r="R236" s="8"/>
      <c r="U236" s="8"/>
      <c r="V236" s="7" t="str">
        <f t="shared" si="1"/>
        <v/>
      </c>
      <c r="W236" s="15" t="str">
        <f t="shared" si="2"/>
        <v/>
      </c>
    </row>
    <row r="237">
      <c r="I237" s="8"/>
      <c r="K237" s="8"/>
      <c r="L237" s="8"/>
      <c r="P237" s="8"/>
      <c r="Q237" s="8"/>
      <c r="R237" s="8"/>
      <c r="U237" s="8"/>
      <c r="V237" s="7" t="str">
        <f t="shared" si="1"/>
        <v/>
      </c>
      <c r="W237" s="15" t="str">
        <f t="shared" si="2"/>
        <v/>
      </c>
    </row>
    <row r="238">
      <c r="I238" s="8"/>
      <c r="K238" s="8"/>
      <c r="L238" s="8"/>
      <c r="P238" s="8"/>
      <c r="Q238" s="8"/>
      <c r="R238" s="8"/>
      <c r="U238" s="8"/>
      <c r="V238" s="7" t="str">
        <f t="shared" si="1"/>
        <v/>
      </c>
      <c r="W238" s="15" t="str">
        <f t="shared" si="2"/>
        <v/>
      </c>
    </row>
    <row r="239">
      <c r="I239" s="8"/>
      <c r="K239" s="8"/>
      <c r="L239" s="8"/>
      <c r="P239" s="8"/>
      <c r="Q239" s="8"/>
      <c r="R239" s="8"/>
      <c r="U239" s="8"/>
      <c r="V239" s="7" t="str">
        <f t="shared" si="1"/>
        <v/>
      </c>
      <c r="W239" s="15" t="str">
        <f t="shared" si="2"/>
        <v/>
      </c>
    </row>
    <row r="240">
      <c r="I240" s="8"/>
      <c r="K240" s="8"/>
      <c r="L240" s="8"/>
      <c r="P240" s="8"/>
      <c r="Q240" s="8"/>
      <c r="R240" s="8"/>
      <c r="U240" s="8"/>
      <c r="V240" s="7" t="str">
        <f t="shared" si="1"/>
        <v/>
      </c>
      <c r="W240" s="15" t="str">
        <f t="shared" si="2"/>
        <v/>
      </c>
    </row>
    <row r="241">
      <c r="I241" s="8"/>
      <c r="K241" s="8"/>
      <c r="L241" s="8"/>
      <c r="P241" s="8"/>
      <c r="Q241" s="8"/>
      <c r="R241" s="8"/>
      <c r="U241" s="8"/>
      <c r="V241" s="7" t="str">
        <f t="shared" si="1"/>
        <v/>
      </c>
      <c r="W241" s="15" t="str">
        <f t="shared" si="2"/>
        <v/>
      </c>
    </row>
    <row r="242">
      <c r="I242" s="8"/>
      <c r="K242" s="8"/>
      <c r="L242" s="8"/>
      <c r="P242" s="8"/>
      <c r="Q242" s="8"/>
      <c r="R242" s="8"/>
      <c r="U242" s="8"/>
      <c r="V242" s="7" t="str">
        <f t="shared" si="1"/>
        <v/>
      </c>
      <c r="W242" s="15" t="str">
        <f t="shared" si="2"/>
        <v/>
      </c>
    </row>
    <row r="243">
      <c r="I243" s="8"/>
      <c r="K243" s="8"/>
      <c r="L243" s="8"/>
      <c r="P243" s="8"/>
      <c r="Q243" s="8"/>
      <c r="R243" s="8"/>
      <c r="U243" s="8"/>
      <c r="V243" s="7" t="str">
        <f t="shared" si="1"/>
        <v/>
      </c>
      <c r="W243" s="15" t="str">
        <f t="shared" si="2"/>
        <v/>
      </c>
    </row>
    <row r="244">
      <c r="I244" s="8"/>
      <c r="K244" s="8"/>
      <c r="L244" s="8"/>
      <c r="P244" s="8"/>
      <c r="Q244" s="8"/>
      <c r="R244" s="8"/>
      <c r="U244" s="8"/>
      <c r="V244" s="7" t="str">
        <f t="shared" si="1"/>
        <v/>
      </c>
      <c r="W244" s="15" t="str">
        <f t="shared" si="2"/>
        <v/>
      </c>
    </row>
    <row r="245">
      <c r="I245" s="8"/>
      <c r="K245" s="8"/>
      <c r="L245" s="8"/>
      <c r="P245" s="8"/>
      <c r="Q245" s="8"/>
      <c r="R245" s="8"/>
      <c r="U245" s="8"/>
      <c r="V245" s="7" t="str">
        <f t="shared" si="1"/>
        <v/>
      </c>
      <c r="W245" s="15" t="str">
        <f t="shared" si="2"/>
        <v/>
      </c>
    </row>
    <row r="246">
      <c r="I246" s="8"/>
      <c r="K246" s="8"/>
      <c r="L246" s="8"/>
      <c r="P246" s="8"/>
      <c r="Q246" s="8"/>
      <c r="R246" s="8"/>
      <c r="U246" s="8"/>
      <c r="V246" s="7" t="str">
        <f t="shared" si="1"/>
        <v/>
      </c>
      <c r="W246" s="15" t="str">
        <f t="shared" si="2"/>
        <v/>
      </c>
    </row>
    <row r="247">
      <c r="I247" s="8"/>
      <c r="K247" s="8"/>
      <c r="L247" s="8"/>
      <c r="P247" s="8"/>
      <c r="Q247" s="8"/>
      <c r="R247" s="8"/>
      <c r="U247" s="8"/>
      <c r="V247" s="7" t="str">
        <f t="shared" si="1"/>
        <v/>
      </c>
      <c r="W247" s="15" t="str">
        <f t="shared" si="2"/>
        <v/>
      </c>
    </row>
    <row r="248">
      <c r="I248" s="8"/>
      <c r="K248" s="8"/>
      <c r="L248" s="8"/>
      <c r="P248" s="8"/>
      <c r="Q248" s="8"/>
      <c r="R248" s="8"/>
      <c r="U248" s="8"/>
      <c r="V248" s="7" t="str">
        <f t="shared" si="1"/>
        <v/>
      </c>
      <c r="W248" s="15" t="str">
        <f t="shared" si="2"/>
        <v/>
      </c>
    </row>
    <row r="249">
      <c r="I249" s="8"/>
      <c r="K249" s="8"/>
      <c r="L249" s="8"/>
      <c r="P249" s="8"/>
      <c r="Q249" s="8"/>
      <c r="R249" s="8"/>
      <c r="U249" s="8"/>
      <c r="V249" s="7" t="str">
        <f t="shared" si="1"/>
        <v/>
      </c>
      <c r="W249" s="15" t="str">
        <f t="shared" si="2"/>
        <v/>
      </c>
    </row>
    <row r="250">
      <c r="I250" s="8"/>
      <c r="K250" s="8"/>
      <c r="L250" s="8"/>
      <c r="P250" s="8"/>
      <c r="Q250" s="8"/>
      <c r="R250" s="8"/>
      <c r="U250" s="8"/>
      <c r="V250" s="7" t="str">
        <f t="shared" si="1"/>
        <v/>
      </c>
      <c r="W250" s="15" t="str">
        <f t="shared" si="2"/>
        <v/>
      </c>
    </row>
    <row r="251">
      <c r="I251" s="8"/>
      <c r="K251" s="8"/>
      <c r="L251" s="8"/>
      <c r="P251" s="8"/>
      <c r="Q251" s="8"/>
      <c r="R251" s="8"/>
      <c r="U251" s="8"/>
      <c r="V251" s="7" t="str">
        <f t="shared" si="1"/>
        <v/>
      </c>
      <c r="W251" s="15" t="str">
        <f t="shared" si="2"/>
        <v/>
      </c>
    </row>
    <row r="252">
      <c r="I252" s="8"/>
      <c r="K252" s="8"/>
      <c r="L252" s="8"/>
      <c r="P252" s="8"/>
      <c r="Q252" s="8"/>
      <c r="R252" s="8"/>
      <c r="U252" s="8"/>
      <c r="V252" s="7" t="str">
        <f t="shared" si="1"/>
        <v/>
      </c>
      <c r="W252" s="15" t="str">
        <f t="shared" si="2"/>
        <v/>
      </c>
    </row>
    <row r="253">
      <c r="I253" s="8"/>
      <c r="K253" s="8"/>
      <c r="L253" s="8"/>
      <c r="P253" s="8"/>
      <c r="Q253" s="8"/>
      <c r="R253" s="8"/>
      <c r="U253" s="8"/>
      <c r="V253" s="7" t="str">
        <f t="shared" si="1"/>
        <v/>
      </c>
      <c r="W253" s="15" t="str">
        <f t="shared" si="2"/>
        <v/>
      </c>
    </row>
    <row r="254">
      <c r="I254" s="8"/>
      <c r="K254" s="8"/>
      <c r="L254" s="8"/>
      <c r="P254" s="8"/>
      <c r="Q254" s="8"/>
      <c r="R254" s="8"/>
      <c r="U254" s="8"/>
      <c r="V254" s="7" t="str">
        <f t="shared" si="1"/>
        <v/>
      </c>
      <c r="W254" s="15" t="str">
        <f t="shared" si="2"/>
        <v/>
      </c>
    </row>
    <row r="255">
      <c r="I255" s="8"/>
      <c r="K255" s="8"/>
      <c r="L255" s="8"/>
      <c r="P255" s="8"/>
      <c r="Q255" s="8"/>
      <c r="R255" s="8"/>
      <c r="U255" s="8"/>
      <c r="V255" s="7" t="str">
        <f t="shared" si="1"/>
        <v/>
      </c>
    </row>
    <row r="256">
      <c r="I256" s="8"/>
      <c r="K256" s="8"/>
      <c r="L256" s="8"/>
      <c r="P256" s="8"/>
      <c r="Q256" s="8"/>
      <c r="R256" s="8"/>
      <c r="U256" s="8"/>
      <c r="V256" s="7" t="str">
        <f t="shared" si="1"/>
        <v/>
      </c>
    </row>
    <row r="257">
      <c r="I257" s="8"/>
      <c r="K257" s="8"/>
      <c r="L257" s="8"/>
      <c r="P257" s="8"/>
      <c r="Q257" s="8"/>
      <c r="R257" s="8"/>
      <c r="U257" s="8"/>
      <c r="V257" s="7" t="str">
        <f t="shared" si="1"/>
        <v/>
      </c>
    </row>
    <row r="258">
      <c r="I258" s="8"/>
      <c r="K258" s="8"/>
      <c r="L258" s="8"/>
      <c r="P258" s="8"/>
      <c r="Q258" s="8"/>
      <c r="R258" s="8"/>
      <c r="U258" s="8"/>
      <c r="V258" s="7" t="str">
        <f t="shared" si="1"/>
        <v/>
      </c>
    </row>
    <row r="259">
      <c r="I259" s="8"/>
      <c r="K259" s="8"/>
      <c r="L259" s="8"/>
      <c r="P259" s="8"/>
      <c r="Q259" s="8"/>
      <c r="R259" s="8"/>
      <c r="U259" s="8"/>
      <c r="V259" s="7" t="str">
        <f t="shared" si="1"/>
        <v/>
      </c>
    </row>
    <row r="260">
      <c r="I260" s="8"/>
      <c r="K260" s="8"/>
      <c r="L260" s="8"/>
      <c r="P260" s="8"/>
      <c r="Q260" s="8"/>
      <c r="R260" s="8"/>
      <c r="U260" s="8"/>
      <c r="V260" s="7" t="str">
        <f t="shared" si="1"/>
        <v/>
      </c>
    </row>
    <row r="261">
      <c r="I261" s="8"/>
      <c r="K261" s="8"/>
      <c r="L261" s="8"/>
      <c r="P261" s="8"/>
      <c r="Q261" s="8"/>
      <c r="R261" s="8"/>
      <c r="U261" s="8"/>
      <c r="V261" s="7" t="str">
        <f t="shared" si="1"/>
        <v/>
      </c>
    </row>
    <row r="262">
      <c r="I262" s="8"/>
      <c r="K262" s="8"/>
      <c r="L262" s="8"/>
      <c r="P262" s="8"/>
      <c r="Q262" s="8"/>
      <c r="R262" s="8"/>
      <c r="U262" s="8"/>
      <c r="V262" s="7" t="str">
        <f t="shared" si="1"/>
        <v/>
      </c>
    </row>
    <row r="263">
      <c r="I263" s="8"/>
      <c r="K263" s="8"/>
      <c r="L263" s="8"/>
      <c r="P263" s="8"/>
      <c r="Q263" s="8"/>
      <c r="R263" s="8"/>
      <c r="U263" s="8"/>
      <c r="V263" s="7" t="str">
        <f t="shared" si="1"/>
        <v/>
      </c>
    </row>
    <row r="264">
      <c r="I264" s="8"/>
      <c r="K264" s="8"/>
      <c r="L264" s="8"/>
      <c r="P264" s="8"/>
      <c r="Q264" s="8"/>
      <c r="R264" s="8"/>
      <c r="U264" s="8"/>
      <c r="V264" s="7" t="str">
        <f t="shared" si="1"/>
        <v/>
      </c>
    </row>
    <row r="265">
      <c r="I265" s="8"/>
      <c r="K265" s="8"/>
      <c r="L265" s="8"/>
      <c r="P265" s="8"/>
      <c r="Q265" s="8"/>
      <c r="R265" s="8"/>
      <c r="U265" s="8"/>
      <c r="V265" s="7" t="str">
        <f t="shared" si="1"/>
        <v/>
      </c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6.88"/>
    <col customWidth="1" min="4" max="4" width="27.5"/>
    <col customWidth="1" min="5" max="5" width="14.63"/>
    <col customWidth="1" min="6" max="6" width="33.38"/>
    <col customWidth="1" min="7" max="7" width="26.5"/>
    <col customWidth="1" min="8" max="8" width="20.88"/>
    <col customWidth="1" min="9" max="12" width="37.63"/>
    <col customWidth="1" min="13" max="13" width="44.75"/>
    <col customWidth="1" min="14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386</v>
      </c>
      <c r="H1" s="3" t="s">
        <v>387</v>
      </c>
      <c r="I1" s="3" t="s">
        <v>388</v>
      </c>
      <c r="J1" s="2" t="s">
        <v>9</v>
      </c>
      <c r="K1" s="3" t="s">
        <v>389</v>
      </c>
      <c r="L1" s="3" t="s">
        <v>390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391</v>
      </c>
      <c r="V1" s="14" t="s">
        <v>392</v>
      </c>
      <c r="W1" s="14" t="s">
        <v>393</v>
      </c>
    </row>
    <row r="2" ht="22.5" customHeight="1">
      <c r="A2" s="11">
        <v>45910.41089601852</v>
      </c>
      <c r="B2" s="12" t="s">
        <v>265</v>
      </c>
      <c r="C2" s="12" t="s">
        <v>19</v>
      </c>
      <c r="D2" s="12" t="s">
        <v>266</v>
      </c>
      <c r="E2" s="12">
        <v>2.3083010048E10</v>
      </c>
      <c r="F2" s="12" t="s">
        <v>150</v>
      </c>
      <c r="G2" s="12" t="s">
        <v>267</v>
      </c>
      <c r="H2" s="12">
        <v>6.282264140163E12</v>
      </c>
      <c r="I2" s="13">
        <v>7.0</v>
      </c>
      <c r="J2" s="12" t="s">
        <v>23</v>
      </c>
      <c r="K2" s="13">
        <v>5.0</v>
      </c>
      <c r="L2" s="13">
        <v>5.0</v>
      </c>
      <c r="M2" s="12" t="s">
        <v>64</v>
      </c>
      <c r="N2" s="12" t="s">
        <v>25</v>
      </c>
      <c r="O2" s="12" t="s">
        <v>29</v>
      </c>
      <c r="P2" s="13">
        <v>5.0</v>
      </c>
      <c r="Q2" s="13">
        <v>5.0</v>
      </c>
      <c r="R2" s="13">
        <v>4.0</v>
      </c>
      <c r="T2" s="14" t="s">
        <v>150</v>
      </c>
      <c r="V2" s="7" t="str">
        <f t="shared" ref="V2:V268" si="1">LEFT(E2,5)</f>
        <v>23083</v>
      </c>
      <c r="W2" s="15" t="str">
        <f t="shared" ref="W2:W257" si="2">MID(V2,4,1)</f>
        <v>8</v>
      </c>
    </row>
    <row r="3" ht="22.5" customHeight="1">
      <c r="A3" s="4">
        <v>45910.41094405093</v>
      </c>
      <c r="B3" s="5" t="s">
        <v>268</v>
      </c>
      <c r="C3" s="5" t="s">
        <v>19</v>
      </c>
      <c r="D3" s="5" t="s">
        <v>269</v>
      </c>
      <c r="E3" s="5">
        <v>2.4083010004E10</v>
      </c>
      <c r="F3" s="5" t="s">
        <v>394</v>
      </c>
      <c r="G3" s="5" t="s">
        <v>267</v>
      </c>
      <c r="H3" s="5">
        <v>6.283837974085E12</v>
      </c>
      <c r="I3" s="6">
        <v>3.0</v>
      </c>
      <c r="J3" s="5" t="s">
        <v>23</v>
      </c>
      <c r="K3" s="6">
        <v>4.0</v>
      </c>
      <c r="L3" s="6">
        <v>2.0</v>
      </c>
      <c r="M3" s="5" t="s">
        <v>46</v>
      </c>
      <c r="N3" s="5" t="s">
        <v>25</v>
      </c>
      <c r="O3" s="5" t="s">
        <v>29</v>
      </c>
      <c r="P3" s="6">
        <v>4.0</v>
      </c>
      <c r="Q3" s="6">
        <v>4.0</v>
      </c>
      <c r="R3" s="6">
        <v>2.0</v>
      </c>
      <c r="T3" s="14" t="s">
        <v>21</v>
      </c>
      <c r="V3" s="7" t="str">
        <f t="shared" si="1"/>
        <v>24083</v>
      </c>
      <c r="W3" s="15" t="str">
        <f t="shared" si="2"/>
        <v>8</v>
      </c>
    </row>
    <row r="4" ht="22.5" customHeight="1">
      <c r="A4" s="4">
        <v>45910.411831261576</v>
      </c>
      <c r="B4" s="5" t="s">
        <v>270</v>
      </c>
      <c r="C4" s="5" t="s">
        <v>19</v>
      </c>
      <c r="D4" s="5" t="s">
        <v>271</v>
      </c>
      <c r="E4" s="5">
        <v>2.4083010028E10</v>
      </c>
      <c r="F4" s="5" t="s">
        <v>150</v>
      </c>
      <c r="G4" s="5" t="s">
        <v>267</v>
      </c>
      <c r="H4" s="5">
        <v>6.282131970597E12</v>
      </c>
      <c r="I4" s="6">
        <v>4.0</v>
      </c>
      <c r="J4" s="5" t="s">
        <v>23</v>
      </c>
      <c r="K4" s="6">
        <v>7.0</v>
      </c>
      <c r="L4" s="6">
        <v>6.0</v>
      </c>
      <c r="M4" s="5" t="s">
        <v>24</v>
      </c>
      <c r="N4" s="5" t="s">
        <v>25</v>
      </c>
      <c r="O4" s="5" t="s">
        <v>26</v>
      </c>
      <c r="P4" s="6">
        <v>5.0</v>
      </c>
      <c r="Q4" s="6">
        <v>5.0</v>
      </c>
      <c r="R4" s="6">
        <v>2.0</v>
      </c>
      <c r="T4" s="14" t="s">
        <v>395</v>
      </c>
      <c r="V4" s="7" t="str">
        <f t="shared" si="1"/>
        <v>24083</v>
      </c>
      <c r="W4" s="15" t="str">
        <f t="shared" si="2"/>
        <v>8</v>
      </c>
    </row>
    <row r="5" ht="22.5" customHeight="1">
      <c r="A5" s="4">
        <v>45910.41214255787</v>
      </c>
      <c r="B5" s="5" t="s">
        <v>272</v>
      </c>
      <c r="C5" s="5" t="s">
        <v>19</v>
      </c>
      <c r="D5" s="5" t="s">
        <v>273</v>
      </c>
      <c r="E5" s="5">
        <v>2.2083010041E10</v>
      </c>
      <c r="F5" s="5" t="s">
        <v>150</v>
      </c>
      <c r="G5" s="5" t="s">
        <v>267</v>
      </c>
      <c r="H5" s="5">
        <v>6.283839184885E12</v>
      </c>
      <c r="I5" s="6">
        <v>3.0</v>
      </c>
      <c r="J5" s="5" t="s">
        <v>23</v>
      </c>
      <c r="K5" s="6">
        <v>10.0</v>
      </c>
      <c r="L5" s="6">
        <v>5.0</v>
      </c>
      <c r="M5" s="5" t="s">
        <v>49</v>
      </c>
      <c r="N5" s="5" t="s">
        <v>25</v>
      </c>
      <c r="O5" s="5" t="s">
        <v>35</v>
      </c>
      <c r="P5" s="6">
        <v>3.0</v>
      </c>
      <c r="Q5" s="6">
        <v>3.0</v>
      </c>
      <c r="R5" s="6">
        <v>1.0</v>
      </c>
      <c r="T5" s="14" t="s">
        <v>169</v>
      </c>
      <c r="V5" s="7" t="str">
        <f t="shared" si="1"/>
        <v>22083</v>
      </c>
      <c r="W5" s="15" t="str">
        <f t="shared" si="2"/>
        <v>8</v>
      </c>
    </row>
    <row r="6" ht="22.5" customHeight="1">
      <c r="A6" s="4">
        <v>45910.412247615735</v>
      </c>
      <c r="B6" s="5" t="s">
        <v>274</v>
      </c>
      <c r="C6" s="5" t="s">
        <v>19</v>
      </c>
      <c r="D6" s="5" t="s">
        <v>275</v>
      </c>
      <c r="E6" s="5">
        <v>2.5083010028E10</v>
      </c>
      <c r="F6" s="5" t="s">
        <v>150</v>
      </c>
      <c r="G6" s="5" t="s">
        <v>267</v>
      </c>
      <c r="H6" s="5">
        <v>6.285130134311E12</v>
      </c>
      <c r="I6" s="6">
        <v>3.0</v>
      </c>
      <c r="J6" s="5" t="s">
        <v>23</v>
      </c>
      <c r="K6" s="6">
        <v>5.0</v>
      </c>
      <c r="L6" s="6">
        <v>2.0</v>
      </c>
      <c r="M6" s="5" t="s">
        <v>46</v>
      </c>
      <c r="N6" s="5" t="s">
        <v>25</v>
      </c>
      <c r="O6" s="5" t="s">
        <v>26</v>
      </c>
      <c r="P6" s="6">
        <v>4.0</v>
      </c>
      <c r="Q6" s="6">
        <v>5.0</v>
      </c>
      <c r="R6" s="6">
        <v>1.0</v>
      </c>
      <c r="T6" s="14" t="s">
        <v>160</v>
      </c>
      <c r="V6" s="7" t="str">
        <f t="shared" si="1"/>
        <v>25083</v>
      </c>
      <c r="W6" s="15" t="str">
        <f t="shared" si="2"/>
        <v>8</v>
      </c>
    </row>
    <row r="7" ht="22.5" customHeight="1">
      <c r="A7" s="4">
        <v>45910.41243074074</v>
      </c>
      <c r="B7" s="5" t="s">
        <v>276</v>
      </c>
      <c r="C7" s="5" t="s">
        <v>19</v>
      </c>
      <c r="D7" s="5" t="s">
        <v>277</v>
      </c>
      <c r="E7" s="5">
        <v>2.2083010109E10</v>
      </c>
      <c r="F7" s="5" t="s">
        <v>150</v>
      </c>
      <c r="G7" s="5" t="s">
        <v>396</v>
      </c>
      <c r="H7" s="5">
        <v>6.289678865269E12</v>
      </c>
      <c r="I7" s="6">
        <v>2.0</v>
      </c>
      <c r="J7" s="5" t="s">
        <v>23</v>
      </c>
      <c r="K7" s="6">
        <v>1.0</v>
      </c>
      <c r="L7" s="6">
        <v>0.0</v>
      </c>
      <c r="M7" s="5" t="s">
        <v>46</v>
      </c>
      <c r="N7" s="5" t="s">
        <v>25</v>
      </c>
      <c r="O7" s="5" t="s">
        <v>26</v>
      </c>
      <c r="P7" s="6">
        <v>4.0</v>
      </c>
      <c r="Q7" s="6">
        <v>3.0</v>
      </c>
      <c r="R7" s="6">
        <v>4.0</v>
      </c>
      <c r="T7" s="14" t="s">
        <v>101</v>
      </c>
      <c r="V7" s="7" t="str">
        <f t="shared" si="1"/>
        <v>22083</v>
      </c>
      <c r="W7" s="15" t="str">
        <f t="shared" si="2"/>
        <v>8</v>
      </c>
    </row>
    <row r="8" ht="22.5" customHeight="1">
      <c r="A8" s="4">
        <v>45910.412593368055</v>
      </c>
      <c r="B8" s="5" t="s">
        <v>278</v>
      </c>
      <c r="C8" s="5" t="s">
        <v>19</v>
      </c>
      <c r="D8" s="5" t="s">
        <v>279</v>
      </c>
      <c r="E8" s="5">
        <v>2.4083010019E10</v>
      </c>
      <c r="F8" s="5" t="s">
        <v>150</v>
      </c>
      <c r="G8" s="5" t="s">
        <v>267</v>
      </c>
      <c r="H8" s="5">
        <v>6.281399642665E12</v>
      </c>
      <c r="I8" s="6">
        <v>5.0</v>
      </c>
      <c r="J8" s="5" t="s">
        <v>23</v>
      </c>
      <c r="K8" s="6">
        <v>4.0</v>
      </c>
      <c r="L8" s="6">
        <v>2.0</v>
      </c>
      <c r="M8" s="5" t="s">
        <v>49</v>
      </c>
      <c r="N8" s="5" t="s">
        <v>25</v>
      </c>
      <c r="O8" s="5" t="s">
        <v>35</v>
      </c>
      <c r="P8" s="6">
        <v>3.0</v>
      </c>
      <c r="Q8" s="6">
        <v>2.0</v>
      </c>
      <c r="R8" s="6">
        <v>4.0</v>
      </c>
      <c r="T8" s="14" t="s">
        <v>105</v>
      </c>
      <c r="V8" s="7" t="str">
        <f t="shared" si="1"/>
        <v>24083</v>
      </c>
      <c r="W8" s="15" t="str">
        <f t="shared" si="2"/>
        <v>8</v>
      </c>
    </row>
    <row r="9" ht="22.5" customHeight="1">
      <c r="A9" s="4">
        <v>45910.4126024537</v>
      </c>
      <c r="B9" s="5" t="s">
        <v>280</v>
      </c>
      <c r="C9" s="5" t="s">
        <v>19</v>
      </c>
      <c r="D9" s="5" t="s">
        <v>281</v>
      </c>
      <c r="E9" s="5">
        <v>2.2083010078E10</v>
      </c>
      <c r="F9" s="5" t="s">
        <v>150</v>
      </c>
      <c r="G9" s="5" t="s">
        <v>267</v>
      </c>
      <c r="H9" s="5">
        <v>6.285645956206E12</v>
      </c>
      <c r="I9" s="6">
        <v>2.0</v>
      </c>
      <c r="J9" s="5" t="s">
        <v>23</v>
      </c>
      <c r="K9" s="6">
        <v>1.0</v>
      </c>
      <c r="L9" s="6">
        <v>1.0</v>
      </c>
      <c r="M9" s="5" t="s">
        <v>46</v>
      </c>
      <c r="N9" s="5" t="s">
        <v>25</v>
      </c>
      <c r="O9" s="5" t="s">
        <v>282</v>
      </c>
      <c r="P9" s="6">
        <v>2.0</v>
      </c>
      <c r="Q9" s="6">
        <v>3.0</v>
      </c>
      <c r="R9" s="6">
        <v>1.0</v>
      </c>
      <c r="T9" s="14" t="s">
        <v>156</v>
      </c>
      <c r="V9" s="7" t="str">
        <f t="shared" si="1"/>
        <v>22083</v>
      </c>
      <c r="W9" s="15" t="str">
        <f t="shared" si="2"/>
        <v>8</v>
      </c>
    </row>
    <row r="10" ht="22.5" customHeight="1">
      <c r="A10" s="4">
        <v>45910.41289644676</v>
      </c>
      <c r="B10" s="5" t="s">
        <v>239</v>
      </c>
      <c r="C10" s="5" t="s">
        <v>19</v>
      </c>
      <c r="D10" s="5" t="s">
        <v>240</v>
      </c>
      <c r="E10" s="5">
        <v>2.4081010258E10</v>
      </c>
      <c r="F10" s="5" t="s">
        <v>150</v>
      </c>
      <c r="G10" s="5" t="s">
        <v>397</v>
      </c>
      <c r="H10" s="5">
        <v>6.285334136352E12</v>
      </c>
      <c r="I10" s="6">
        <v>7.0</v>
      </c>
      <c r="J10" s="5" t="s">
        <v>23</v>
      </c>
      <c r="K10" s="6">
        <v>4.0</v>
      </c>
      <c r="L10" s="6">
        <v>3.0</v>
      </c>
      <c r="M10" s="5" t="s">
        <v>24</v>
      </c>
      <c r="N10" s="5" t="s">
        <v>25</v>
      </c>
      <c r="O10" s="5" t="s">
        <v>29</v>
      </c>
      <c r="P10" s="6">
        <v>3.0</v>
      </c>
      <c r="Q10" s="6">
        <v>2.0</v>
      </c>
      <c r="R10" s="6">
        <v>4.0</v>
      </c>
      <c r="V10" s="7" t="str">
        <f t="shared" si="1"/>
        <v>24081</v>
      </c>
      <c r="W10" s="15" t="str">
        <f t="shared" si="2"/>
        <v>8</v>
      </c>
    </row>
    <row r="11" ht="22.5" customHeight="1">
      <c r="A11" s="4">
        <v>45910.41323666667</v>
      </c>
      <c r="B11" s="5" t="s">
        <v>242</v>
      </c>
      <c r="C11" s="5" t="s">
        <v>19</v>
      </c>
      <c r="D11" s="5" t="s">
        <v>243</v>
      </c>
      <c r="E11" s="5">
        <v>2.4081010244E10</v>
      </c>
      <c r="F11" s="5" t="s">
        <v>150</v>
      </c>
      <c r="G11" s="5" t="s">
        <v>241</v>
      </c>
      <c r="H11" s="5">
        <v>6.285895870051E12</v>
      </c>
      <c r="I11" s="6">
        <v>7.0</v>
      </c>
      <c r="J11" s="5" t="s">
        <v>23</v>
      </c>
      <c r="K11" s="6">
        <v>4.0</v>
      </c>
      <c r="L11" s="6">
        <v>4.0</v>
      </c>
      <c r="M11" s="5" t="s">
        <v>24</v>
      </c>
      <c r="N11" s="5" t="s">
        <v>25</v>
      </c>
      <c r="O11" s="5" t="s">
        <v>29</v>
      </c>
      <c r="P11" s="6">
        <v>3.0</v>
      </c>
      <c r="Q11" s="6">
        <v>3.0</v>
      </c>
      <c r="R11" s="6">
        <v>4.0</v>
      </c>
      <c r="T11" s="14" t="s">
        <v>398</v>
      </c>
      <c r="U11" s="8">
        <f>SUM(U12:U14)</f>
        <v>166</v>
      </c>
      <c r="V11" s="7" t="str">
        <f t="shared" si="1"/>
        <v>24081</v>
      </c>
      <c r="W11" s="15" t="str">
        <f t="shared" si="2"/>
        <v>8</v>
      </c>
    </row>
    <row r="12" ht="22.5" customHeight="1">
      <c r="A12" s="4">
        <v>45910.4140230787</v>
      </c>
      <c r="B12" s="5" t="s">
        <v>283</v>
      </c>
      <c r="C12" s="5" t="s">
        <v>19</v>
      </c>
      <c r="D12" s="5" t="s">
        <v>284</v>
      </c>
      <c r="E12" s="5">
        <v>2.3083010075E10</v>
      </c>
      <c r="F12" s="5" t="s">
        <v>150</v>
      </c>
      <c r="G12" s="5" t="s">
        <v>267</v>
      </c>
      <c r="H12" s="5">
        <v>6.287761764541E12</v>
      </c>
      <c r="I12" s="6">
        <v>3.0</v>
      </c>
      <c r="J12" s="5" t="s">
        <v>196</v>
      </c>
      <c r="K12" s="6">
        <v>5.0</v>
      </c>
      <c r="L12" s="6">
        <v>4.0</v>
      </c>
      <c r="M12" s="5" t="s">
        <v>24</v>
      </c>
      <c r="N12" s="5" t="s">
        <v>25</v>
      </c>
      <c r="O12" s="5" t="s">
        <v>35</v>
      </c>
      <c r="P12" s="6">
        <v>4.0</v>
      </c>
      <c r="Q12" s="6">
        <v>4.0</v>
      </c>
      <c r="R12" s="6">
        <v>6.0</v>
      </c>
      <c r="T12" s="14" t="s">
        <v>399</v>
      </c>
      <c r="U12" s="8">
        <f>COUNTIF(V2:V257, 24083)</f>
        <v>28</v>
      </c>
      <c r="V12" s="7" t="str">
        <f t="shared" si="1"/>
        <v>23083</v>
      </c>
      <c r="W12" s="15" t="str">
        <f t="shared" si="2"/>
        <v>8</v>
      </c>
    </row>
    <row r="13" ht="22.5" customHeight="1">
      <c r="A13" s="4">
        <v>45910.4155747801</v>
      </c>
      <c r="B13" s="5" t="s">
        <v>177</v>
      </c>
      <c r="C13" s="5" t="s">
        <v>19</v>
      </c>
      <c r="D13" s="5" t="s">
        <v>178</v>
      </c>
      <c r="E13" s="5">
        <v>2.4043010272E10</v>
      </c>
      <c r="F13" s="5" t="s">
        <v>21</v>
      </c>
      <c r="G13" s="5" t="s">
        <v>179</v>
      </c>
      <c r="H13" s="5">
        <v>6.282127163914E12</v>
      </c>
      <c r="I13" s="6">
        <v>5.0</v>
      </c>
      <c r="J13" s="5" t="s">
        <v>23</v>
      </c>
      <c r="K13" s="6">
        <v>5.0</v>
      </c>
      <c r="L13" s="6">
        <v>6.0</v>
      </c>
      <c r="M13" s="5" t="s">
        <v>46</v>
      </c>
      <c r="N13" s="5" t="s">
        <v>25</v>
      </c>
      <c r="O13" s="5" t="s">
        <v>26</v>
      </c>
      <c r="P13" s="6">
        <v>5.0</v>
      </c>
      <c r="Q13" s="6">
        <v>4.0</v>
      </c>
      <c r="R13" s="6">
        <v>3.0</v>
      </c>
      <c r="T13" s="14" t="s">
        <v>400</v>
      </c>
      <c r="U13" s="8">
        <f>COUNTIF(Form_Responses[Fakultas], "Fakultas Ilmu Komputer") - U12</f>
        <v>36</v>
      </c>
      <c r="V13" s="7" t="str">
        <f t="shared" si="1"/>
        <v>24043</v>
      </c>
      <c r="W13" s="15" t="str">
        <f t="shared" si="2"/>
        <v>4</v>
      </c>
    </row>
    <row r="14" ht="22.5" customHeight="1">
      <c r="A14" s="4">
        <v>45910.41597173611</v>
      </c>
      <c r="B14" s="5" t="s">
        <v>285</v>
      </c>
      <c r="C14" s="5" t="s">
        <v>19</v>
      </c>
      <c r="D14" s="5" t="s">
        <v>286</v>
      </c>
      <c r="E14" s="5">
        <v>2.3083010077E10</v>
      </c>
      <c r="F14" s="5" t="s">
        <v>150</v>
      </c>
      <c r="G14" s="5" t="s">
        <v>267</v>
      </c>
      <c r="H14" s="5">
        <v>6.287758129977E12</v>
      </c>
      <c r="I14" s="6">
        <v>3.0</v>
      </c>
      <c r="J14" s="5" t="s">
        <v>23</v>
      </c>
      <c r="K14" s="6">
        <v>5.0</v>
      </c>
      <c r="L14" s="6">
        <v>0.0</v>
      </c>
      <c r="M14" s="5" t="s">
        <v>24</v>
      </c>
      <c r="N14" s="5" t="s">
        <v>25</v>
      </c>
      <c r="O14" s="5" t="s">
        <v>35</v>
      </c>
      <c r="P14" s="6">
        <v>3.0</v>
      </c>
      <c r="Q14" s="6">
        <v>3.0</v>
      </c>
      <c r="R14" s="6">
        <v>0.0</v>
      </c>
      <c r="T14" s="14" t="s">
        <v>401</v>
      </c>
      <c r="U14" s="9">
        <f>COUNTIF(W2:W257,1)+COUNTIF(W2:W257,2)+COUNTIF(W2:W257,3)+COUNTIF(W2:W257,4)+COUNTIF(W2:W257,5)+COUNTIF(W2:W257,7)+COUNTIF(W2:W257,9)</f>
        <v>102</v>
      </c>
      <c r="V14" s="7" t="str">
        <f t="shared" si="1"/>
        <v>23083</v>
      </c>
      <c r="W14" s="15" t="str">
        <f t="shared" si="2"/>
        <v>8</v>
      </c>
    </row>
    <row r="15" ht="22.5" customHeight="1">
      <c r="A15" s="4">
        <v>45910.42002804398</v>
      </c>
      <c r="B15" s="5" t="s">
        <v>287</v>
      </c>
      <c r="C15" s="5" t="s">
        <v>19</v>
      </c>
      <c r="D15" s="5" t="s">
        <v>288</v>
      </c>
      <c r="E15" s="5">
        <v>2.408301008E10</v>
      </c>
      <c r="F15" s="5" t="s">
        <v>150</v>
      </c>
      <c r="G15" s="5" t="s">
        <v>396</v>
      </c>
      <c r="H15" s="5">
        <v>6.288235969066E12</v>
      </c>
      <c r="I15" s="6">
        <v>9.0</v>
      </c>
      <c r="J15" s="5" t="s">
        <v>23</v>
      </c>
      <c r="K15" s="6">
        <v>4.0</v>
      </c>
      <c r="L15" s="6">
        <v>4.0</v>
      </c>
      <c r="M15" s="5" t="s">
        <v>64</v>
      </c>
      <c r="N15" s="5" t="s">
        <v>25</v>
      </c>
      <c r="O15" s="5" t="s">
        <v>26</v>
      </c>
      <c r="P15" s="6">
        <v>5.0</v>
      </c>
      <c r="Q15" s="6">
        <v>5.0</v>
      </c>
      <c r="R15" s="6">
        <v>4.0</v>
      </c>
      <c r="U15" s="8"/>
      <c r="V15" s="7" t="str">
        <f t="shared" si="1"/>
        <v>24083</v>
      </c>
      <c r="W15" s="15" t="str">
        <f t="shared" si="2"/>
        <v>8</v>
      </c>
    </row>
    <row r="16" ht="22.5" customHeight="1">
      <c r="A16" s="4">
        <v>45910.4201133912</v>
      </c>
      <c r="B16" s="5" t="s">
        <v>83</v>
      </c>
      <c r="C16" s="5" t="s">
        <v>19</v>
      </c>
      <c r="D16" s="5" t="s">
        <v>84</v>
      </c>
      <c r="E16" s="5">
        <v>2.4041010163E10</v>
      </c>
      <c r="F16" s="5" t="s">
        <v>21</v>
      </c>
      <c r="G16" s="5" t="s">
        <v>85</v>
      </c>
      <c r="H16" s="5">
        <v>6.281354298141E12</v>
      </c>
      <c r="I16" s="6">
        <v>7.0</v>
      </c>
      <c r="J16" s="5" t="s">
        <v>34</v>
      </c>
      <c r="K16" s="6">
        <v>7.0</v>
      </c>
      <c r="L16" s="6">
        <v>7.0</v>
      </c>
      <c r="M16" s="5" t="s">
        <v>24</v>
      </c>
      <c r="N16" s="5" t="s">
        <v>25</v>
      </c>
      <c r="O16" s="5" t="s">
        <v>29</v>
      </c>
      <c r="P16" s="6">
        <v>5.0</v>
      </c>
      <c r="Q16" s="6">
        <v>5.0</v>
      </c>
      <c r="R16" s="6">
        <v>12.0</v>
      </c>
      <c r="T16" s="14" t="s">
        <v>402</v>
      </c>
      <c r="U16" s="9">
        <v>150.0</v>
      </c>
      <c r="V16" s="7" t="str">
        <f t="shared" si="1"/>
        <v>24041</v>
      </c>
      <c r="W16" s="15" t="str">
        <f t="shared" si="2"/>
        <v>4</v>
      </c>
    </row>
    <row r="17" ht="22.5" customHeight="1">
      <c r="A17" s="4">
        <v>45910.42058365741</v>
      </c>
      <c r="B17" s="5" t="s">
        <v>289</v>
      </c>
      <c r="C17" s="5" t="s">
        <v>19</v>
      </c>
      <c r="D17" s="5" t="s">
        <v>290</v>
      </c>
      <c r="E17" s="5">
        <v>2.4083010064E10</v>
      </c>
      <c r="F17" s="5" t="s">
        <v>150</v>
      </c>
      <c r="G17" s="5" t="s">
        <v>267</v>
      </c>
      <c r="H17" s="5">
        <v>6.285748321121E12</v>
      </c>
      <c r="I17" s="6">
        <v>4.0</v>
      </c>
      <c r="J17" s="5" t="s">
        <v>96</v>
      </c>
      <c r="K17" s="6">
        <v>2.0</v>
      </c>
      <c r="L17" s="6">
        <v>1.0</v>
      </c>
      <c r="M17" s="5" t="s">
        <v>64</v>
      </c>
      <c r="N17" s="5" t="s">
        <v>25</v>
      </c>
      <c r="O17" s="5" t="s">
        <v>26</v>
      </c>
      <c r="P17" s="6">
        <v>5.0</v>
      </c>
      <c r="Q17" s="6">
        <v>3.0</v>
      </c>
      <c r="R17" s="6">
        <v>2.0</v>
      </c>
      <c r="T17" s="14" t="s">
        <v>399</v>
      </c>
      <c r="U17" s="9">
        <v>21.0</v>
      </c>
      <c r="V17" s="7" t="str">
        <f t="shared" si="1"/>
        <v>24083</v>
      </c>
      <c r="W17" s="15" t="str">
        <f t="shared" si="2"/>
        <v>8</v>
      </c>
    </row>
    <row r="18" ht="22.5" customHeight="1">
      <c r="A18" s="4">
        <v>45910.420920034725</v>
      </c>
      <c r="B18" s="5" t="s">
        <v>180</v>
      </c>
      <c r="C18" s="5" t="s">
        <v>19</v>
      </c>
      <c r="D18" s="5" t="s">
        <v>181</v>
      </c>
      <c r="E18" s="5">
        <v>2.404301003E10</v>
      </c>
      <c r="F18" s="5" t="s">
        <v>21</v>
      </c>
      <c r="G18" s="5" t="s">
        <v>179</v>
      </c>
      <c r="H18" s="5">
        <v>6.38538553712E12</v>
      </c>
      <c r="I18" s="6">
        <v>4.0</v>
      </c>
      <c r="J18" s="5" t="s">
        <v>34</v>
      </c>
      <c r="K18" s="6">
        <v>5.0</v>
      </c>
      <c r="L18" s="6">
        <v>1.0</v>
      </c>
      <c r="M18" s="5" t="s">
        <v>49</v>
      </c>
      <c r="N18" s="5" t="s">
        <v>25</v>
      </c>
      <c r="O18" s="5" t="s">
        <v>26</v>
      </c>
      <c r="P18" s="6">
        <v>5.0</v>
      </c>
      <c r="Q18" s="6">
        <v>5.0</v>
      </c>
      <c r="R18" s="6">
        <v>5.0</v>
      </c>
      <c r="T18" s="14" t="s">
        <v>400</v>
      </c>
      <c r="U18" s="9">
        <v>39.0</v>
      </c>
      <c r="V18" s="7" t="str">
        <f t="shared" si="1"/>
        <v>24043</v>
      </c>
      <c r="W18" s="15" t="str">
        <f t="shared" si="2"/>
        <v>4</v>
      </c>
    </row>
    <row r="19" ht="22.5" customHeight="1">
      <c r="A19" s="4">
        <v>45910.42103842593</v>
      </c>
      <c r="B19" s="5" t="s">
        <v>86</v>
      </c>
      <c r="C19" s="5" t="s">
        <v>19</v>
      </c>
      <c r="D19" s="5" t="s">
        <v>87</v>
      </c>
      <c r="E19" s="5">
        <v>2.4041010101E10</v>
      </c>
      <c r="F19" s="5" t="s">
        <v>21</v>
      </c>
      <c r="G19" s="5" t="s">
        <v>85</v>
      </c>
      <c r="H19" s="5">
        <v>6.285735919465E12</v>
      </c>
      <c r="I19" s="6">
        <v>3.0</v>
      </c>
      <c r="J19" s="5" t="s">
        <v>23</v>
      </c>
      <c r="K19" s="6">
        <v>6.0</v>
      </c>
      <c r="L19" s="6">
        <v>2.0</v>
      </c>
      <c r="M19" s="5" t="s">
        <v>46</v>
      </c>
      <c r="N19" s="5" t="s">
        <v>25</v>
      </c>
      <c r="O19" s="5" t="s">
        <v>26</v>
      </c>
      <c r="P19" s="6">
        <v>4.0</v>
      </c>
      <c r="Q19" s="6">
        <v>4.0</v>
      </c>
      <c r="R19" s="6">
        <v>8.0</v>
      </c>
      <c r="T19" s="14" t="s">
        <v>401</v>
      </c>
      <c r="U19" s="9">
        <v>90.0</v>
      </c>
      <c r="V19" s="7" t="str">
        <f t="shared" si="1"/>
        <v>24041</v>
      </c>
      <c r="W19" s="15" t="str">
        <f t="shared" si="2"/>
        <v>4</v>
      </c>
    </row>
    <row r="20" ht="22.5" customHeight="1">
      <c r="A20" s="4">
        <v>45910.42107166667</v>
      </c>
      <c r="B20" s="5" t="s">
        <v>88</v>
      </c>
      <c r="C20" s="5" t="s">
        <v>19</v>
      </c>
      <c r="D20" s="5" t="s">
        <v>89</v>
      </c>
      <c r="E20" s="5">
        <v>2.4041010061E10</v>
      </c>
      <c r="F20" s="5" t="s">
        <v>21</v>
      </c>
      <c r="G20" s="5" t="s">
        <v>403</v>
      </c>
      <c r="H20" s="5">
        <v>6.281554194264E12</v>
      </c>
      <c r="I20" s="6">
        <v>3.0</v>
      </c>
      <c r="J20" s="5" t="s">
        <v>23</v>
      </c>
      <c r="K20" s="6">
        <v>7.0</v>
      </c>
      <c r="L20" s="6">
        <v>3.0</v>
      </c>
      <c r="M20" s="5" t="s">
        <v>24</v>
      </c>
      <c r="N20" s="5" t="s">
        <v>25</v>
      </c>
      <c r="O20" s="5" t="s">
        <v>26</v>
      </c>
      <c r="P20" s="6">
        <v>4.0</v>
      </c>
      <c r="Q20" s="6">
        <v>4.0</v>
      </c>
      <c r="R20" s="6">
        <v>6.0</v>
      </c>
      <c r="U20" s="8"/>
      <c r="V20" s="7" t="str">
        <f t="shared" si="1"/>
        <v>24041</v>
      </c>
      <c r="W20" s="15" t="str">
        <f t="shared" si="2"/>
        <v>4</v>
      </c>
    </row>
    <row r="21" ht="22.5" customHeight="1">
      <c r="A21" s="4">
        <v>45910.421695173616</v>
      </c>
      <c r="B21" s="5" t="s">
        <v>291</v>
      </c>
      <c r="C21" s="5" t="s">
        <v>19</v>
      </c>
      <c r="D21" s="5" t="s">
        <v>292</v>
      </c>
      <c r="E21" s="5">
        <v>2.3083010071E10</v>
      </c>
      <c r="F21" s="5" t="s">
        <v>150</v>
      </c>
      <c r="G21" s="5" t="s">
        <v>267</v>
      </c>
      <c r="H21" s="5">
        <v>6.287841925591E12</v>
      </c>
      <c r="I21" s="6">
        <v>10.0</v>
      </c>
      <c r="J21" s="5" t="s">
        <v>23</v>
      </c>
      <c r="K21" s="6">
        <v>7.0</v>
      </c>
      <c r="L21" s="6">
        <v>4.0</v>
      </c>
      <c r="M21" s="5" t="s">
        <v>64</v>
      </c>
      <c r="N21" s="5" t="s">
        <v>25</v>
      </c>
      <c r="O21" s="5" t="s">
        <v>29</v>
      </c>
      <c r="P21" s="6">
        <v>3.0</v>
      </c>
      <c r="Q21" s="6">
        <v>3.0</v>
      </c>
      <c r="R21" s="6">
        <v>4.0</v>
      </c>
      <c r="T21" s="14" t="s">
        <v>404</v>
      </c>
      <c r="U21" s="8">
        <f>SUM(U22:U24)+1</f>
        <v>-8</v>
      </c>
      <c r="V21" s="7" t="str">
        <f t="shared" si="1"/>
        <v>23083</v>
      </c>
      <c r="W21" s="15" t="str">
        <f t="shared" si="2"/>
        <v>8</v>
      </c>
    </row>
    <row r="22" ht="22.5" customHeight="1">
      <c r="A22" s="4">
        <v>45910.42211667824</v>
      </c>
      <c r="B22" s="5" t="s">
        <v>360</v>
      </c>
      <c r="C22" s="5" t="s">
        <v>19</v>
      </c>
      <c r="D22" s="5" t="s">
        <v>361</v>
      </c>
      <c r="E22" s="5">
        <v>2.2082010199E10</v>
      </c>
      <c r="F22" s="5" t="s">
        <v>150</v>
      </c>
      <c r="G22" s="5" t="s">
        <v>405</v>
      </c>
      <c r="H22" s="5">
        <v>6.2812317436E12</v>
      </c>
      <c r="I22" s="6">
        <v>4.0</v>
      </c>
      <c r="J22" s="5" t="s">
        <v>23</v>
      </c>
      <c r="K22" s="6">
        <v>1.0</v>
      </c>
      <c r="L22" s="6">
        <v>3.0</v>
      </c>
      <c r="M22" s="5" t="s">
        <v>24</v>
      </c>
      <c r="N22" s="5" t="s">
        <v>25</v>
      </c>
      <c r="O22" s="5" t="s">
        <v>26</v>
      </c>
      <c r="P22" s="6">
        <v>3.0</v>
      </c>
      <c r="Q22" s="6">
        <v>3.0</v>
      </c>
      <c r="R22" s="6">
        <v>2.0</v>
      </c>
      <c r="T22" s="14" t="s">
        <v>399</v>
      </c>
      <c r="U22" s="8">
        <f>IF((U17-U11)&lt;0,0,U17-U11)</f>
        <v>0</v>
      </c>
      <c r="V22" s="7" t="str">
        <f t="shared" si="1"/>
        <v>22082</v>
      </c>
      <c r="W22" s="15" t="str">
        <f t="shared" si="2"/>
        <v>8</v>
      </c>
    </row>
    <row r="23" ht="22.5" customHeight="1">
      <c r="A23" s="4">
        <v>45910.423022627314</v>
      </c>
      <c r="B23" s="5" t="s">
        <v>293</v>
      </c>
      <c r="C23" s="5" t="s">
        <v>19</v>
      </c>
      <c r="D23" s="5" t="s">
        <v>294</v>
      </c>
      <c r="E23" s="5">
        <v>2.3083010035E10</v>
      </c>
      <c r="F23" s="5" t="s">
        <v>150</v>
      </c>
      <c r="G23" s="5" t="s">
        <v>267</v>
      </c>
      <c r="H23" s="5">
        <v>6.285806072895E12</v>
      </c>
      <c r="I23" s="6">
        <v>7.0</v>
      </c>
      <c r="J23" s="5" t="s">
        <v>23</v>
      </c>
      <c r="K23" s="6">
        <v>5.0</v>
      </c>
      <c r="L23" s="6">
        <v>4.0</v>
      </c>
      <c r="M23" s="5" t="s">
        <v>24</v>
      </c>
      <c r="N23" s="5" t="s">
        <v>25</v>
      </c>
      <c r="O23" s="5" t="s">
        <v>26</v>
      </c>
      <c r="P23" s="6">
        <v>4.0</v>
      </c>
      <c r="Q23" s="6">
        <v>5.0</v>
      </c>
      <c r="R23" s="6">
        <v>1.0</v>
      </c>
      <c r="T23" s="14" t="s">
        <v>400</v>
      </c>
      <c r="U23" s="8">
        <f>IF((U18-U13)&lt;0,0,U18-U13)</f>
        <v>3</v>
      </c>
      <c r="V23" s="7" t="str">
        <f t="shared" si="1"/>
        <v>23083</v>
      </c>
      <c r="W23" s="15" t="str">
        <f t="shared" si="2"/>
        <v>8</v>
      </c>
    </row>
    <row r="24" ht="22.5" customHeight="1">
      <c r="A24" s="4">
        <v>45910.42324916666</v>
      </c>
      <c r="B24" s="5" t="s">
        <v>295</v>
      </c>
      <c r="C24" s="5" t="s">
        <v>19</v>
      </c>
      <c r="D24" s="5" t="s">
        <v>296</v>
      </c>
      <c r="E24" s="5">
        <v>2.3083010098E10</v>
      </c>
      <c r="F24" s="5" t="s">
        <v>150</v>
      </c>
      <c r="G24" s="5" t="s">
        <v>267</v>
      </c>
      <c r="H24" s="5">
        <v>6.288217315261E12</v>
      </c>
      <c r="I24" s="6">
        <v>7.0</v>
      </c>
      <c r="J24" s="5" t="s">
        <v>23</v>
      </c>
      <c r="K24" s="6">
        <v>7.0</v>
      </c>
      <c r="L24" s="6">
        <v>4.0</v>
      </c>
      <c r="M24" s="5" t="s">
        <v>64</v>
      </c>
      <c r="N24" s="5" t="s">
        <v>25</v>
      </c>
      <c r="O24" s="5" t="s">
        <v>29</v>
      </c>
      <c r="P24" s="6">
        <v>3.0</v>
      </c>
      <c r="Q24" s="6">
        <v>4.0</v>
      </c>
      <c r="R24" s="6">
        <v>1.0</v>
      </c>
      <c r="T24" s="14" t="s">
        <v>401</v>
      </c>
      <c r="U24" s="8">
        <f>U19-U14</f>
        <v>-12</v>
      </c>
      <c r="V24" s="7" t="str">
        <f t="shared" si="1"/>
        <v>23083</v>
      </c>
      <c r="W24" s="15" t="str">
        <f t="shared" si="2"/>
        <v>8</v>
      </c>
    </row>
    <row r="25" ht="22.5" customHeight="1">
      <c r="A25" s="4">
        <v>45910.42408253472</v>
      </c>
      <c r="B25" s="5" t="s">
        <v>297</v>
      </c>
      <c r="C25" s="5" t="s">
        <v>19</v>
      </c>
      <c r="D25" s="5" t="s">
        <v>298</v>
      </c>
      <c r="E25" s="5">
        <v>2.3083010022E10</v>
      </c>
      <c r="F25" s="5" t="s">
        <v>150</v>
      </c>
      <c r="G25" s="5" t="s">
        <v>267</v>
      </c>
      <c r="H25" s="5">
        <v>6.285158822545E12</v>
      </c>
      <c r="I25" s="6">
        <v>1.0</v>
      </c>
      <c r="J25" s="5" t="s">
        <v>23</v>
      </c>
      <c r="K25" s="6">
        <v>2.0</v>
      </c>
      <c r="L25" s="6">
        <v>3.0</v>
      </c>
      <c r="M25" s="5" t="s">
        <v>64</v>
      </c>
      <c r="N25" s="5" t="s">
        <v>25</v>
      </c>
      <c r="O25" s="5" t="s">
        <v>26</v>
      </c>
      <c r="P25" s="6">
        <v>4.0</v>
      </c>
      <c r="Q25" s="6">
        <v>3.0</v>
      </c>
      <c r="R25" s="6">
        <v>3.0</v>
      </c>
      <c r="U25" s="8"/>
      <c r="V25" s="7" t="str">
        <f t="shared" si="1"/>
        <v>23083</v>
      </c>
      <c r="W25" s="15" t="str">
        <f t="shared" si="2"/>
        <v>8</v>
      </c>
    </row>
    <row r="26" ht="22.5" customHeight="1">
      <c r="A26" s="4">
        <v>45910.424519884255</v>
      </c>
      <c r="B26" s="5" t="s">
        <v>299</v>
      </c>
      <c r="C26" s="5" t="s">
        <v>19</v>
      </c>
      <c r="D26" s="5" t="s">
        <v>300</v>
      </c>
      <c r="E26" s="5">
        <v>2.2083010108E10</v>
      </c>
      <c r="F26" s="5" t="s">
        <v>150</v>
      </c>
      <c r="G26" s="5" t="s">
        <v>267</v>
      </c>
      <c r="H26" s="5">
        <v>6.288989946781E12</v>
      </c>
      <c r="I26" s="6">
        <v>10.0</v>
      </c>
      <c r="J26" s="5" t="s">
        <v>23</v>
      </c>
      <c r="K26" s="6">
        <v>4.0</v>
      </c>
      <c r="L26" s="6">
        <v>0.0</v>
      </c>
      <c r="M26" s="5" t="s">
        <v>24</v>
      </c>
      <c r="N26" s="5" t="s">
        <v>25</v>
      </c>
      <c r="O26" s="5" t="s">
        <v>301</v>
      </c>
      <c r="P26" s="6">
        <v>2.0</v>
      </c>
      <c r="Q26" s="6">
        <v>2.0</v>
      </c>
      <c r="R26" s="6">
        <v>4.0</v>
      </c>
      <c r="T26" s="14" t="s">
        <v>406</v>
      </c>
      <c r="U26" s="8">
        <f>U16-U21-1</f>
        <v>157</v>
      </c>
      <c r="V26" s="7" t="str">
        <f t="shared" si="1"/>
        <v>22083</v>
      </c>
      <c r="W26" s="15" t="str">
        <f t="shared" si="2"/>
        <v>8</v>
      </c>
    </row>
    <row r="27" ht="22.5" customHeight="1">
      <c r="A27" s="4">
        <v>45910.425002013886</v>
      </c>
      <c r="B27" s="5" t="s">
        <v>244</v>
      </c>
      <c r="C27" s="5" t="s">
        <v>19</v>
      </c>
      <c r="D27" s="5" t="s">
        <v>245</v>
      </c>
      <c r="E27" s="5">
        <v>2.3081010033E10</v>
      </c>
      <c r="F27" s="5" t="s">
        <v>150</v>
      </c>
      <c r="G27" s="5" t="s">
        <v>241</v>
      </c>
      <c r="H27" s="5">
        <v>6.281917710313E12</v>
      </c>
      <c r="I27" s="6">
        <v>3.0</v>
      </c>
      <c r="J27" s="5" t="s">
        <v>96</v>
      </c>
      <c r="K27" s="6">
        <v>3.0</v>
      </c>
      <c r="L27" s="6">
        <v>0.0</v>
      </c>
      <c r="M27" s="5" t="s">
        <v>49</v>
      </c>
      <c r="N27" s="5" t="s">
        <v>25</v>
      </c>
      <c r="O27" s="5" t="s">
        <v>26</v>
      </c>
      <c r="P27" s="6">
        <v>2.0</v>
      </c>
      <c r="Q27" s="6">
        <v>1.0</v>
      </c>
      <c r="R27" s="6">
        <v>0.0</v>
      </c>
      <c r="U27" s="8"/>
      <c r="V27" s="7" t="str">
        <f t="shared" si="1"/>
        <v>23081</v>
      </c>
      <c r="W27" s="15" t="str">
        <f t="shared" si="2"/>
        <v>8</v>
      </c>
    </row>
    <row r="28" ht="22.5" customHeight="1">
      <c r="A28" s="4">
        <v>45910.42518125</v>
      </c>
      <c r="B28" s="5" t="s">
        <v>260</v>
      </c>
      <c r="C28" s="5" t="s">
        <v>19</v>
      </c>
      <c r="D28" s="5" t="s">
        <v>261</v>
      </c>
      <c r="E28" s="5">
        <v>2.5012010323E10</v>
      </c>
      <c r="F28" s="5" t="s">
        <v>105</v>
      </c>
      <c r="G28" s="5" t="s">
        <v>407</v>
      </c>
      <c r="H28" s="5">
        <v>6.281259823227E12</v>
      </c>
      <c r="I28" s="6">
        <v>3.0</v>
      </c>
      <c r="J28" s="5" t="s">
        <v>23</v>
      </c>
      <c r="K28" s="6">
        <v>5.0</v>
      </c>
      <c r="L28" s="6">
        <v>3.0</v>
      </c>
      <c r="M28" s="5" t="s">
        <v>49</v>
      </c>
      <c r="N28" s="5" t="s">
        <v>25</v>
      </c>
      <c r="O28" s="5" t="s">
        <v>35</v>
      </c>
      <c r="P28" s="6">
        <v>3.0</v>
      </c>
      <c r="Q28" s="6">
        <v>3.0</v>
      </c>
      <c r="R28" s="6">
        <v>2.0</v>
      </c>
      <c r="U28" s="8"/>
      <c r="V28" s="7" t="str">
        <f t="shared" si="1"/>
        <v>25012</v>
      </c>
      <c r="W28" s="15" t="str">
        <f t="shared" si="2"/>
        <v>1</v>
      </c>
    </row>
    <row r="29" ht="22.5" customHeight="1">
      <c r="A29" s="4">
        <v>45910.425963553236</v>
      </c>
      <c r="B29" s="5" t="s">
        <v>148</v>
      </c>
      <c r="C29" s="5" t="s">
        <v>19</v>
      </c>
      <c r="D29" s="5" t="s">
        <v>149</v>
      </c>
      <c r="E29" s="5">
        <v>2.4084010004E10</v>
      </c>
      <c r="F29" s="5" t="s">
        <v>150</v>
      </c>
      <c r="G29" s="5" t="s">
        <v>151</v>
      </c>
      <c r="H29" s="5">
        <v>6.28983306299E11</v>
      </c>
      <c r="I29" s="6">
        <v>3.0</v>
      </c>
      <c r="J29" s="5" t="s">
        <v>23</v>
      </c>
      <c r="K29" s="6">
        <v>5.0</v>
      </c>
      <c r="L29" s="6">
        <v>4.0</v>
      </c>
      <c r="M29" s="5" t="s">
        <v>24</v>
      </c>
      <c r="N29" s="5" t="s">
        <v>25</v>
      </c>
      <c r="O29" s="5" t="s">
        <v>26</v>
      </c>
      <c r="P29" s="6">
        <v>5.0</v>
      </c>
      <c r="Q29" s="6">
        <v>5.0</v>
      </c>
      <c r="R29" s="6">
        <v>2.0</v>
      </c>
      <c r="U29" s="8"/>
      <c r="V29" s="7" t="str">
        <f t="shared" si="1"/>
        <v>24084</v>
      </c>
      <c r="W29" s="15" t="str">
        <f t="shared" si="2"/>
        <v>8</v>
      </c>
    </row>
    <row r="30" ht="22.5" customHeight="1">
      <c r="A30" s="4">
        <v>45910.426771377315</v>
      </c>
      <c r="B30" s="5" t="s">
        <v>302</v>
      </c>
      <c r="C30" s="5" t="s">
        <v>19</v>
      </c>
      <c r="D30" s="5" t="s">
        <v>303</v>
      </c>
      <c r="E30" s="5">
        <v>2.4083010029E10</v>
      </c>
      <c r="F30" s="5" t="s">
        <v>150</v>
      </c>
      <c r="G30" s="5" t="s">
        <v>267</v>
      </c>
      <c r="H30" s="5">
        <v>6.28123456789E12</v>
      </c>
      <c r="I30" s="6">
        <v>4.0</v>
      </c>
      <c r="J30" s="5" t="s">
        <v>23</v>
      </c>
      <c r="K30" s="6">
        <v>5.0</v>
      </c>
      <c r="L30" s="6">
        <v>5.0</v>
      </c>
      <c r="M30" s="5" t="s">
        <v>46</v>
      </c>
      <c r="N30" s="5" t="s">
        <v>25</v>
      </c>
      <c r="O30" s="5" t="s">
        <v>29</v>
      </c>
      <c r="P30" s="6">
        <v>4.0</v>
      </c>
      <c r="Q30" s="6">
        <v>4.0</v>
      </c>
      <c r="R30" s="6">
        <v>2.0</v>
      </c>
      <c r="U30" s="8"/>
      <c r="V30" s="7" t="str">
        <f t="shared" si="1"/>
        <v>24083</v>
      </c>
      <c r="W30" s="15" t="str">
        <f t="shared" si="2"/>
        <v>8</v>
      </c>
    </row>
    <row r="31" ht="22.5" customHeight="1">
      <c r="A31" s="4">
        <v>45910.429864826394</v>
      </c>
      <c r="B31" s="5" t="s">
        <v>372</v>
      </c>
      <c r="C31" s="5" t="s">
        <v>19</v>
      </c>
      <c r="D31" s="5" t="s">
        <v>373</v>
      </c>
      <c r="E31" s="5">
        <v>2.4031010047E10</v>
      </c>
      <c r="F31" s="5" t="s">
        <v>160</v>
      </c>
      <c r="G31" s="5" t="s">
        <v>374</v>
      </c>
      <c r="H31" s="5">
        <v>6.289516579376E12</v>
      </c>
      <c r="I31" s="6">
        <v>6.0</v>
      </c>
      <c r="J31" s="5" t="s">
        <v>96</v>
      </c>
      <c r="K31" s="6">
        <v>5.0</v>
      </c>
      <c r="L31" s="6">
        <v>5.0</v>
      </c>
      <c r="M31" s="5" t="s">
        <v>49</v>
      </c>
      <c r="N31" s="5" t="s">
        <v>25</v>
      </c>
      <c r="O31" s="5" t="s">
        <v>26</v>
      </c>
      <c r="P31" s="6">
        <v>5.0</v>
      </c>
      <c r="Q31" s="6">
        <v>5.0</v>
      </c>
      <c r="R31" s="6">
        <v>3.0</v>
      </c>
      <c r="U31" s="8"/>
      <c r="V31" s="7" t="str">
        <f t="shared" si="1"/>
        <v>24031</v>
      </c>
      <c r="W31" s="15" t="str">
        <f t="shared" si="2"/>
        <v>3</v>
      </c>
    </row>
    <row r="32" ht="22.5" customHeight="1">
      <c r="A32" s="4">
        <v>45910.433414872685</v>
      </c>
      <c r="B32" s="5" t="s">
        <v>304</v>
      </c>
      <c r="C32" s="5" t="s">
        <v>19</v>
      </c>
      <c r="D32" s="5" t="s">
        <v>305</v>
      </c>
      <c r="E32" s="5">
        <v>2.5083010042E10</v>
      </c>
      <c r="F32" s="5" t="s">
        <v>150</v>
      </c>
      <c r="G32" s="5" t="s">
        <v>267</v>
      </c>
      <c r="H32" s="5">
        <v>6.285331669745E12</v>
      </c>
      <c r="I32" s="6">
        <v>3.0</v>
      </c>
      <c r="J32" s="5" t="s">
        <v>23</v>
      </c>
      <c r="K32" s="6">
        <v>1.0</v>
      </c>
      <c r="L32" s="6">
        <v>3.0</v>
      </c>
      <c r="M32" s="5" t="s">
        <v>49</v>
      </c>
      <c r="N32" s="5" t="s">
        <v>25</v>
      </c>
      <c r="O32" s="5" t="s">
        <v>26</v>
      </c>
      <c r="P32" s="6">
        <v>4.0</v>
      </c>
      <c r="Q32" s="6">
        <v>5.0</v>
      </c>
      <c r="R32" s="6">
        <v>1.0</v>
      </c>
      <c r="U32" s="8"/>
      <c r="V32" s="7" t="str">
        <f t="shared" si="1"/>
        <v>25083</v>
      </c>
      <c r="W32" s="15" t="str">
        <f t="shared" si="2"/>
        <v>8</v>
      </c>
    </row>
    <row r="33" ht="22.5" customHeight="1">
      <c r="A33" s="4">
        <v>45910.43641363426</v>
      </c>
      <c r="B33" s="5" t="s">
        <v>18</v>
      </c>
      <c r="C33" s="5" t="s">
        <v>19</v>
      </c>
      <c r="D33" s="5" t="s">
        <v>20</v>
      </c>
      <c r="E33" s="5">
        <v>2.1042010097E10</v>
      </c>
      <c r="F33" s="5" t="s">
        <v>21</v>
      </c>
      <c r="G33" s="5" t="s">
        <v>408</v>
      </c>
      <c r="H33" s="5">
        <v>6.2881026225969E13</v>
      </c>
      <c r="I33" s="6">
        <v>8.0</v>
      </c>
      <c r="J33" s="5" t="s">
        <v>23</v>
      </c>
      <c r="K33" s="6">
        <v>1.0</v>
      </c>
      <c r="L33" s="6">
        <v>1.0</v>
      </c>
      <c r="M33" s="5" t="s">
        <v>24</v>
      </c>
      <c r="N33" s="5" t="s">
        <v>25</v>
      </c>
      <c r="O33" s="5" t="s">
        <v>26</v>
      </c>
      <c r="P33" s="6">
        <v>5.0</v>
      </c>
      <c r="Q33" s="6">
        <v>5.0</v>
      </c>
      <c r="R33" s="6">
        <v>2.0</v>
      </c>
      <c r="U33" s="8"/>
      <c r="V33" s="7" t="str">
        <f t="shared" si="1"/>
        <v>21042</v>
      </c>
      <c r="W33" s="15" t="str">
        <f t="shared" si="2"/>
        <v>4</v>
      </c>
    </row>
    <row r="34" ht="22.5" customHeight="1">
      <c r="A34" s="4">
        <v>45910.43830232639</v>
      </c>
      <c r="B34" s="5" t="s">
        <v>152</v>
      </c>
      <c r="C34" s="5" t="s">
        <v>19</v>
      </c>
      <c r="D34" s="5" t="s">
        <v>153</v>
      </c>
      <c r="E34" s="5">
        <v>2.3084010051E10</v>
      </c>
      <c r="F34" s="5" t="s">
        <v>150</v>
      </c>
      <c r="G34" s="5" t="s">
        <v>151</v>
      </c>
      <c r="H34" s="5">
        <v>6.282139561798E12</v>
      </c>
      <c r="I34" s="6">
        <v>9.0</v>
      </c>
      <c r="J34" s="5" t="s">
        <v>96</v>
      </c>
      <c r="K34" s="6">
        <v>2.0</v>
      </c>
      <c r="L34" s="6">
        <v>2.0</v>
      </c>
      <c r="M34" s="5" t="s">
        <v>24</v>
      </c>
      <c r="N34" s="5" t="s">
        <v>25</v>
      </c>
      <c r="O34" s="5" t="s">
        <v>29</v>
      </c>
      <c r="P34" s="6">
        <v>5.0</v>
      </c>
      <c r="Q34" s="6">
        <v>5.0</v>
      </c>
      <c r="R34" s="6">
        <v>1.0</v>
      </c>
      <c r="U34" s="8"/>
      <c r="V34" s="7" t="str">
        <f t="shared" si="1"/>
        <v>23084</v>
      </c>
      <c r="W34" s="15" t="str">
        <f t="shared" si="2"/>
        <v>8</v>
      </c>
    </row>
    <row r="35" ht="22.5" customHeight="1">
      <c r="A35" s="4">
        <v>45910.442835567126</v>
      </c>
      <c r="B35" s="5" t="s">
        <v>182</v>
      </c>
      <c r="C35" s="5" t="s">
        <v>19</v>
      </c>
      <c r="D35" s="5" t="s">
        <v>183</v>
      </c>
      <c r="E35" s="5">
        <v>2.4043010309E10</v>
      </c>
      <c r="F35" s="5" t="s">
        <v>21</v>
      </c>
      <c r="G35" s="5" t="s">
        <v>179</v>
      </c>
      <c r="H35" s="5">
        <v>6.285855264233E12</v>
      </c>
      <c r="I35" s="6">
        <v>5.0</v>
      </c>
      <c r="J35" s="5" t="s">
        <v>23</v>
      </c>
      <c r="K35" s="6">
        <v>5.0</v>
      </c>
      <c r="L35" s="6">
        <v>5.0</v>
      </c>
      <c r="M35" s="5" t="s">
        <v>46</v>
      </c>
      <c r="N35" s="5" t="s">
        <v>25</v>
      </c>
      <c r="O35" s="5" t="s">
        <v>26</v>
      </c>
      <c r="P35" s="6">
        <v>5.0</v>
      </c>
      <c r="Q35" s="6">
        <v>5.0</v>
      </c>
      <c r="R35" s="6">
        <v>1.0</v>
      </c>
      <c r="U35" s="8"/>
      <c r="V35" s="7" t="str">
        <f t="shared" si="1"/>
        <v>24043</v>
      </c>
      <c r="W35" s="15" t="str">
        <f t="shared" si="2"/>
        <v>4</v>
      </c>
    </row>
    <row r="36" ht="22.5" customHeight="1">
      <c r="A36" s="4">
        <v>45910.44385591435</v>
      </c>
      <c r="B36" s="5" t="s">
        <v>184</v>
      </c>
      <c r="C36" s="5" t="s">
        <v>19</v>
      </c>
      <c r="D36" s="5" t="s">
        <v>185</v>
      </c>
      <c r="E36" s="5">
        <v>2.4043010159E10</v>
      </c>
      <c r="F36" s="5" t="s">
        <v>21</v>
      </c>
      <c r="G36" s="5" t="s">
        <v>409</v>
      </c>
      <c r="H36" s="5">
        <v>6.28123456789E12</v>
      </c>
      <c r="I36" s="6">
        <v>1.0</v>
      </c>
      <c r="J36" s="5" t="s">
        <v>23</v>
      </c>
      <c r="K36" s="6">
        <v>7.0</v>
      </c>
      <c r="L36" s="6">
        <v>1.0</v>
      </c>
      <c r="M36" s="5" t="s">
        <v>64</v>
      </c>
      <c r="N36" s="5" t="s">
        <v>25</v>
      </c>
      <c r="O36" s="5" t="s">
        <v>29</v>
      </c>
      <c r="P36" s="6">
        <v>4.0</v>
      </c>
      <c r="Q36" s="6">
        <v>4.0</v>
      </c>
      <c r="R36" s="6">
        <v>1.0</v>
      </c>
      <c r="U36" s="8"/>
      <c r="V36" s="7" t="str">
        <f t="shared" si="1"/>
        <v>24043</v>
      </c>
      <c r="W36" s="15" t="str">
        <f t="shared" si="2"/>
        <v>4</v>
      </c>
    </row>
    <row r="37" ht="22.5" customHeight="1">
      <c r="A37" s="4">
        <v>45910.44839012732</v>
      </c>
      <c r="B37" s="5" t="s">
        <v>306</v>
      </c>
      <c r="C37" s="5" t="s">
        <v>19</v>
      </c>
      <c r="D37" s="5" t="s">
        <v>307</v>
      </c>
      <c r="E37" s="5">
        <v>2.3083010063E10</v>
      </c>
      <c r="F37" s="5" t="s">
        <v>150</v>
      </c>
      <c r="G37" s="5" t="s">
        <v>267</v>
      </c>
      <c r="H37" s="5">
        <v>6.285606403656E12</v>
      </c>
      <c r="I37" s="6">
        <v>1.0</v>
      </c>
      <c r="J37" s="5" t="s">
        <v>23</v>
      </c>
      <c r="K37" s="6">
        <v>3.0</v>
      </c>
      <c r="L37" s="6">
        <v>0.0</v>
      </c>
      <c r="M37" s="5" t="s">
        <v>24</v>
      </c>
      <c r="N37" s="5" t="s">
        <v>25</v>
      </c>
      <c r="O37" s="5" t="s">
        <v>29</v>
      </c>
      <c r="P37" s="6">
        <v>4.0</v>
      </c>
      <c r="Q37" s="6">
        <v>4.0</v>
      </c>
      <c r="R37" s="6">
        <v>1.0</v>
      </c>
      <c r="U37" s="8"/>
      <c r="V37" s="7" t="str">
        <f t="shared" si="1"/>
        <v>23083</v>
      </c>
      <c r="W37" s="15" t="str">
        <f t="shared" si="2"/>
        <v>8</v>
      </c>
    </row>
    <row r="38" ht="22.5" customHeight="1">
      <c r="A38" s="4">
        <v>45910.44981586805</v>
      </c>
      <c r="B38" s="5" t="s">
        <v>308</v>
      </c>
      <c r="C38" s="5" t="s">
        <v>19</v>
      </c>
      <c r="D38" s="5" t="s">
        <v>309</v>
      </c>
      <c r="E38" s="5">
        <v>2.4083010105E10</v>
      </c>
      <c r="F38" s="5" t="s">
        <v>150</v>
      </c>
      <c r="G38" s="5" t="s">
        <v>267</v>
      </c>
      <c r="H38" s="5">
        <v>6.285706340117E12</v>
      </c>
      <c r="I38" s="6">
        <v>3.0</v>
      </c>
      <c r="J38" s="5" t="s">
        <v>196</v>
      </c>
      <c r="K38" s="6">
        <v>7.0</v>
      </c>
      <c r="L38" s="6">
        <v>3.0</v>
      </c>
      <c r="M38" s="5" t="s">
        <v>49</v>
      </c>
      <c r="N38" s="5" t="s">
        <v>25</v>
      </c>
      <c r="O38" s="5" t="s">
        <v>35</v>
      </c>
      <c r="P38" s="6">
        <v>3.0</v>
      </c>
      <c r="Q38" s="6">
        <v>4.0</v>
      </c>
      <c r="R38" s="6">
        <v>2.0</v>
      </c>
      <c r="U38" s="8"/>
      <c r="V38" s="7" t="str">
        <f t="shared" si="1"/>
        <v>24083</v>
      </c>
      <c r="W38" s="15" t="str">
        <f t="shared" si="2"/>
        <v>8</v>
      </c>
    </row>
    <row r="39" ht="22.5" customHeight="1">
      <c r="A39" s="4">
        <v>45910.451445416664</v>
      </c>
      <c r="B39" s="5" t="s">
        <v>158</v>
      </c>
      <c r="C39" s="5" t="s">
        <v>19</v>
      </c>
      <c r="D39" s="5" t="s">
        <v>159</v>
      </c>
      <c r="E39" s="5">
        <v>2.403701001E10</v>
      </c>
      <c r="F39" s="5" t="s">
        <v>160</v>
      </c>
      <c r="G39" s="5" t="s">
        <v>161</v>
      </c>
      <c r="H39" s="5">
        <v>6.281249732509E12</v>
      </c>
      <c r="I39" s="6">
        <v>4.0</v>
      </c>
      <c r="J39" s="5" t="s">
        <v>23</v>
      </c>
      <c r="K39" s="6">
        <v>4.0</v>
      </c>
      <c r="L39" s="6">
        <v>4.0</v>
      </c>
      <c r="M39" s="5" t="s">
        <v>24</v>
      </c>
      <c r="N39" s="5" t="s">
        <v>25</v>
      </c>
      <c r="O39" s="5" t="s">
        <v>29</v>
      </c>
      <c r="P39" s="6">
        <v>3.0</v>
      </c>
      <c r="Q39" s="6">
        <v>4.0</v>
      </c>
      <c r="R39" s="6">
        <v>1.0</v>
      </c>
      <c r="U39" s="8"/>
      <c r="V39" s="7" t="str">
        <f t="shared" si="1"/>
        <v>24037</v>
      </c>
      <c r="W39" s="15" t="str">
        <f t="shared" si="2"/>
        <v>3</v>
      </c>
    </row>
    <row r="40" ht="22.5" customHeight="1">
      <c r="A40" s="4">
        <v>45910.45209380787</v>
      </c>
      <c r="B40" s="5" t="s">
        <v>310</v>
      </c>
      <c r="C40" s="5" t="s">
        <v>19</v>
      </c>
      <c r="D40" s="5" t="s">
        <v>311</v>
      </c>
      <c r="E40" s="5">
        <v>2.4083010083E10</v>
      </c>
      <c r="F40" s="5" t="s">
        <v>150</v>
      </c>
      <c r="G40" s="5" t="s">
        <v>267</v>
      </c>
      <c r="H40" s="5">
        <v>6.287778669888E12</v>
      </c>
      <c r="I40" s="6">
        <v>12.0</v>
      </c>
      <c r="J40" s="5" t="s">
        <v>23</v>
      </c>
      <c r="K40" s="6">
        <v>5.0</v>
      </c>
      <c r="L40" s="6">
        <v>2.0</v>
      </c>
      <c r="M40" s="5" t="s">
        <v>64</v>
      </c>
      <c r="N40" s="5" t="s">
        <v>25</v>
      </c>
      <c r="O40" s="5" t="s">
        <v>26</v>
      </c>
      <c r="P40" s="6">
        <v>5.0</v>
      </c>
      <c r="Q40" s="6">
        <v>5.0</v>
      </c>
      <c r="R40" s="6">
        <v>3.0</v>
      </c>
      <c r="U40" s="8"/>
      <c r="V40" s="7" t="str">
        <f t="shared" si="1"/>
        <v>24083</v>
      </c>
      <c r="W40" s="15" t="str">
        <f t="shared" si="2"/>
        <v>8</v>
      </c>
    </row>
    <row r="41" ht="22.5" customHeight="1">
      <c r="A41" s="4">
        <v>45910.45739373843</v>
      </c>
      <c r="B41" s="5" t="s">
        <v>312</v>
      </c>
      <c r="C41" s="5" t="s">
        <v>19</v>
      </c>
      <c r="D41" s="5" t="s">
        <v>313</v>
      </c>
      <c r="E41" s="5">
        <v>2.4083010018E10</v>
      </c>
      <c r="F41" s="5" t="s">
        <v>150</v>
      </c>
      <c r="G41" s="5" t="s">
        <v>267</v>
      </c>
      <c r="H41" s="5">
        <v>6.281536515209E12</v>
      </c>
      <c r="I41" s="6">
        <v>3.0</v>
      </c>
      <c r="J41" s="5" t="s">
        <v>34</v>
      </c>
      <c r="K41" s="6">
        <v>3.0</v>
      </c>
      <c r="L41" s="6">
        <v>3.0</v>
      </c>
      <c r="M41" s="5" t="s">
        <v>24</v>
      </c>
      <c r="N41" s="5" t="s">
        <v>25</v>
      </c>
      <c r="O41" s="5" t="s">
        <v>29</v>
      </c>
      <c r="P41" s="6">
        <v>5.0</v>
      </c>
      <c r="Q41" s="6">
        <v>5.0</v>
      </c>
      <c r="R41" s="6">
        <v>1.0</v>
      </c>
      <c r="U41" s="8"/>
      <c r="V41" s="7" t="str">
        <f t="shared" si="1"/>
        <v>24083</v>
      </c>
      <c r="W41" s="15" t="str">
        <f t="shared" si="2"/>
        <v>8</v>
      </c>
    </row>
    <row r="42" ht="22.5" customHeight="1">
      <c r="A42" s="4">
        <v>45910.45953439815</v>
      </c>
      <c r="B42" s="5" t="s">
        <v>314</v>
      </c>
      <c r="C42" s="5" t="s">
        <v>19</v>
      </c>
      <c r="D42" s="5" t="s">
        <v>315</v>
      </c>
      <c r="E42" s="5">
        <v>2.4083010051E10</v>
      </c>
      <c r="F42" s="5" t="s">
        <v>150</v>
      </c>
      <c r="G42" s="5" t="s">
        <v>396</v>
      </c>
      <c r="H42" s="5">
        <v>6.285850742606E12</v>
      </c>
      <c r="I42" s="6">
        <v>3.0</v>
      </c>
      <c r="J42" s="5" t="s">
        <v>23</v>
      </c>
      <c r="K42" s="6">
        <v>5.0</v>
      </c>
      <c r="L42" s="6">
        <v>2.0</v>
      </c>
      <c r="M42" s="5" t="s">
        <v>64</v>
      </c>
      <c r="N42" s="5" t="s">
        <v>25</v>
      </c>
      <c r="O42" s="5" t="s">
        <v>29</v>
      </c>
      <c r="P42" s="6">
        <v>4.0</v>
      </c>
      <c r="Q42" s="6">
        <v>4.0</v>
      </c>
      <c r="R42" s="6">
        <v>1.0</v>
      </c>
      <c r="U42" s="8"/>
      <c r="V42" s="7" t="str">
        <f t="shared" si="1"/>
        <v>24083</v>
      </c>
      <c r="W42" s="15" t="str">
        <f t="shared" si="2"/>
        <v>8</v>
      </c>
    </row>
    <row r="43" ht="22.5" customHeight="1">
      <c r="A43" s="4">
        <v>45910.46348857639</v>
      </c>
      <c r="B43" s="5" t="s">
        <v>246</v>
      </c>
      <c r="C43" s="5" t="s">
        <v>19</v>
      </c>
      <c r="D43" s="5" t="s">
        <v>247</v>
      </c>
      <c r="E43" s="5">
        <v>2.3081010244E10</v>
      </c>
      <c r="F43" s="5" t="s">
        <v>150</v>
      </c>
      <c r="G43" s="5" t="s">
        <v>241</v>
      </c>
      <c r="H43" s="5">
        <v>6.283849205759E12</v>
      </c>
      <c r="I43" s="6">
        <v>10.0</v>
      </c>
      <c r="J43" s="5" t="s">
        <v>23</v>
      </c>
      <c r="K43" s="6">
        <v>5.0</v>
      </c>
      <c r="L43" s="6">
        <v>1.0</v>
      </c>
      <c r="M43" s="5" t="s">
        <v>24</v>
      </c>
      <c r="N43" s="5" t="s">
        <v>25</v>
      </c>
      <c r="O43" s="5" t="s">
        <v>26</v>
      </c>
      <c r="P43" s="6">
        <v>1.0</v>
      </c>
      <c r="Q43" s="6">
        <v>1.0</v>
      </c>
      <c r="R43" s="6">
        <v>2.0</v>
      </c>
      <c r="U43" s="8"/>
      <c r="V43" s="7" t="str">
        <f t="shared" si="1"/>
        <v>23081</v>
      </c>
      <c r="W43" s="15" t="str">
        <f t="shared" si="2"/>
        <v>8</v>
      </c>
    </row>
    <row r="44" ht="22.5" customHeight="1">
      <c r="A44" s="4">
        <v>45910.471956574074</v>
      </c>
      <c r="B44" s="5" t="s">
        <v>363</v>
      </c>
      <c r="C44" s="5" t="s">
        <v>19</v>
      </c>
      <c r="D44" s="5" t="s">
        <v>364</v>
      </c>
      <c r="E44" s="5">
        <v>2.1082010183E10</v>
      </c>
      <c r="F44" s="5" t="s">
        <v>150</v>
      </c>
      <c r="G44" s="5" t="s">
        <v>362</v>
      </c>
      <c r="H44" s="5">
        <v>6.28133644828E12</v>
      </c>
      <c r="I44" s="6">
        <v>44.0</v>
      </c>
      <c r="J44" s="5" t="s">
        <v>34</v>
      </c>
      <c r="K44" s="6">
        <v>7.0</v>
      </c>
      <c r="L44" s="6">
        <v>5.0</v>
      </c>
      <c r="M44" s="5" t="s">
        <v>24</v>
      </c>
      <c r="N44" s="5" t="s">
        <v>25</v>
      </c>
      <c r="O44" s="5" t="s">
        <v>26</v>
      </c>
      <c r="P44" s="6">
        <v>5.0</v>
      </c>
      <c r="Q44" s="6">
        <v>5.0</v>
      </c>
      <c r="R44" s="6">
        <v>4.0</v>
      </c>
      <c r="U44" s="8"/>
      <c r="V44" s="7" t="str">
        <f t="shared" si="1"/>
        <v>21082</v>
      </c>
      <c r="W44" s="15" t="str">
        <f t="shared" si="2"/>
        <v>8</v>
      </c>
    </row>
    <row r="45" ht="22.5" customHeight="1">
      <c r="A45" s="4">
        <v>45910.48506755787</v>
      </c>
      <c r="B45" s="5" t="s">
        <v>365</v>
      </c>
      <c r="C45" s="5" t="s">
        <v>19</v>
      </c>
      <c r="D45" s="5" t="s">
        <v>366</v>
      </c>
      <c r="E45" s="5">
        <v>2.4082010245E10</v>
      </c>
      <c r="F45" s="5" t="s">
        <v>150</v>
      </c>
      <c r="G45" s="5" t="s">
        <v>405</v>
      </c>
      <c r="H45" s="5">
        <v>6.283178904699E12</v>
      </c>
      <c r="I45" s="6">
        <v>5.0</v>
      </c>
      <c r="J45" s="5" t="s">
        <v>96</v>
      </c>
      <c r="K45" s="6">
        <v>6.0</v>
      </c>
      <c r="L45" s="6">
        <v>5.0</v>
      </c>
      <c r="M45" s="5" t="s">
        <v>49</v>
      </c>
      <c r="N45" s="5" t="s">
        <v>25</v>
      </c>
      <c r="O45" s="5" t="s">
        <v>26</v>
      </c>
      <c r="P45" s="6">
        <v>5.0</v>
      </c>
      <c r="Q45" s="6">
        <v>5.0</v>
      </c>
      <c r="R45" s="6">
        <v>1.0</v>
      </c>
      <c r="U45" s="8"/>
      <c r="V45" s="7" t="str">
        <f t="shared" si="1"/>
        <v>24082</v>
      </c>
      <c r="W45" s="15" t="str">
        <f t="shared" si="2"/>
        <v>8</v>
      </c>
    </row>
    <row r="46" ht="22.5" customHeight="1">
      <c r="A46" s="4">
        <v>45910.52081740741</v>
      </c>
      <c r="B46" s="5" t="s">
        <v>316</v>
      </c>
      <c r="C46" s="5" t="s">
        <v>19</v>
      </c>
      <c r="D46" s="5" t="s">
        <v>317</v>
      </c>
      <c r="E46" s="5">
        <v>2.4083010065E10</v>
      </c>
      <c r="F46" s="5" t="s">
        <v>150</v>
      </c>
      <c r="G46" s="5" t="s">
        <v>267</v>
      </c>
      <c r="H46" s="5">
        <v>6.28574183636E12</v>
      </c>
      <c r="I46" s="6">
        <v>8.0</v>
      </c>
      <c r="J46" s="5" t="s">
        <v>23</v>
      </c>
      <c r="K46" s="6">
        <v>4.0</v>
      </c>
      <c r="L46" s="6">
        <v>2.0</v>
      </c>
      <c r="M46" s="5" t="s">
        <v>64</v>
      </c>
      <c r="N46" s="5" t="s">
        <v>25</v>
      </c>
      <c r="O46" s="5" t="s">
        <v>35</v>
      </c>
      <c r="P46" s="6">
        <v>4.0</v>
      </c>
      <c r="Q46" s="6">
        <v>4.0</v>
      </c>
      <c r="R46" s="6">
        <v>3.0</v>
      </c>
      <c r="U46" s="8"/>
      <c r="V46" s="7" t="str">
        <f t="shared" si="1"/>
        <v>24083</v>
      </c>
      <c r="W46" s="15" t="str">
        <f t="shared" si="2"/>
        <v>8</v>
      </c>
    </row>
    <row r="47" ht="22.5" customHeight="1">
      <c r="A47" s="4">
        <v>45910.541534675926</v>
      </c>
      <c r="B47" s="5" t="s">
        <v>318</v>
      </c>
      <c r="C47" s="5" t="s">
        <v>19</v>
      </c>
      <c r="D47" s="5" t="s">
        <v>319</v>
      </c>
      <c r="E47" s="5">
        <v>2.4083010041E10</v>
      </c>
      <c r="F47" s="5" t="s">
        <v>150</v>
      </c>
      <c r="G47" s="5" t="s">
        <v>267</v>
      </c>
      <c r="H47" s="5">
        <v>6.282228329816E12</v>
      </c>
      <c r="I47" s="6">
        <v>10.0</v>
      </c>
      <c r="J47" s="5" t="s">
        <v>34</v>
      </c>
      <c r="K47" s="6">
        <v>3.0</v>
      </c>
      <c r="L47" s="6">
        <v>5.0</v>
      </c>
      <c r="M47" s="5" t="s">
        <v>24</v>
      </c>
      <c r="N47" s="5" t="s">
        <v>25</v>
      </c>
      <c r="O47" s="5" t="s">
        <v>35</v>
      </c>
      <c r="P47" s="6">
        <v>5.0</v>
      </c>
      <c r="Q47" s="6">
        <v>5.0</v>
      </c>
      <c r="R47" s="6">
        <v>3.0</v>
      </c>
      <c r="U47" s="8"/>
      <c r="V47" s="7" t="str">
        <f t="shared" si="1"/>
        <v>24083</v>
      </c>
      <c r="W47" s="15" t="str">
        <f t="shared" si="2"/>
        <v>8</v>
      </c>
    </row>
    <row r="48" ht="22.5" customHeight="1">
      <c r="A48" s="4">
        <v>45910.55332835648</v>
      </c>
      <c r="B48" s="5" t="s">
        <v>320</v>
      </c>
      <c r="C48" s="5" t="s">
        <v>19</v>
      </c>
      <c r="D48" s="5" t="s">
        <v>321</v>
      </c>
      <c r="E48" s="5">
        <v>2.4083010082E10</v>
      </c>
      <c r="F48" s="5" t="s">
        <v>150</v>
      </c>
      <c r="G48" s="5" t="s">
        <v>267</v>
      </c>
      <c r="H48" s="5">
        <v>6.281336278357E12</v>
      </c>
      <c r="I48" s="6">
        <v>3.0</v>
      </c>
      <c r="J48" s="5" t="s">
        <v>196</v>
      </c>
      <c r="K48" s="6">
        <v>14.0</v>
      </c>
      <c r="L48" s="6">
        <v>4.0</v>
      </c>
      <c r="M48" s="5" t="s">
        <v>49</v>
      </c>
      <c r="N48" s="5" t="s">
        <v>25</v>
      </c>
      <c r="O48" s="5" t="s">
        <v>26</v>
      </c>
      <c r="P48" s="6">
        <v>4.0</v>
      </c>
      <c r="Q48" s="6">
        <v>5.0</v>
      </c>
      <c r="R48" s="6">
        <v>4.0</v>
      </c>
      <c r="U48" s="8"/>
      <c r="V48" s="7" t="str">
        <f t="shared" si="1"/>
        <v>24083</v>
      </c>
      <c r="W48" s="15" t="str">
        <f t="shared" si="2"/>
        <v>8</v>
      </c>
    </row>
    <row r="49" ht="22.5" customHeight="1">
      <c r="A49" s="4">
        <v>45910.56357003472</v>
      </c>
      <c r="B49" s="5" t="s">
        <v>322</v>
      </c>
      <c r="C49" s="5" t="s">
        <v>19</v>
      </c>
      <c r="D49" s="5" t="s">
        <v>323</v>
      </c>
      <c r="E49" s="5">
        <v>2.408301012E10</v>
      </c>
      <c r="F49" s="5" t="s">
        <v>150</v>
      </c>
      <c r="G49" s="5" t="s">
        <v>267</v>
      </c>
      <c r="H49" s="5">
        <v>6.287852013228E12</v>
      </c>
      <c r="I49" s="6">
        <v>3.0</v>
      </c>
      <c r="J49" s="5" t="s">
        <v>23</v>
      </c>
      <c r="K49" s="6">
        <v>1.0</v>
      </c>
      <c r="L49" s="6">
        <v>1.0</v>
      </c>
      <c r="M49" s="5" t="s">
        <v>46</v>
      </c>
      <c r="N49" s="5" t="s">
        <v>25</v>
      </c>
      <c r="O49" s="5" t="s">
        <v>26</v>
      </c>
      <c r="P49" s="6">
        <v>5.0</v>
      </c>
      <c r="Q49" s="6">
        <v>5.0</v>
      </c>
      <c r="R49" s="6">
        <v>6.0</v>
      </c>
      <c r="U49" s="8"/>
      <c r="V49" s="7" t="str">
        <f t="shared" si="1"/>
        <v>24083</v>
      </c>
      <c r="W49" s="15" t="str">
        <f t="shared" si="2"/>
        <v>8</v>
      </c>
    </row>
    <row r="50" ht="22.5" customHeight="1">
      <c r="A50" s="4">
        <v>45910.574746909726</v>
      </c>
      <c r="B50" s="5" t="s">
        <v>167</v>
      </c>
      <c r="C50" s="5" t="s">
        <v>19</v>
      </c>
      <c r="D50" s="5" t="s">
        <v>168</v>
      </c>
      <c r="E50" s="5">
        <v>2.5071010008E10</v>
      </c>
      <c r="F50" s="5" t="s">
        <v>169</v>
      </c>
      <c r="G50" s="5" t="s">
        <v>410</v>
      </c>
      <c r="H50" s="10">
        <v>6.28777873231E12</v>
      </c>
      <c r="I50" s="6">
        <v>2.0</v>
      </c>
      <c r="J50" s="5" t="s">
        <v>23</v>
      </c>
      <c r="K50" s="6">
        <v>5.0</v>
      </c>
      <c r="L50" s="6">
        <v>5.0</v>
      </c>
      <c r="M50" s="5" t="s">
        <v>24</v>
      </c>
      <c r="N50" s="5" t="s">
        <v>25</v>
      </c>
      <c r="O50" s="5" t="s">
        <v>35</v>
      </c>
      <c r="P50" s="6">
        <v>3.0</v>
      </c>
      <c r="Q50" s="6">
        <v>2.0</v>
      </c>
      <c r="R50" s="6">
        <v>2.0</v>
      </c>
      <c r="U50" s="8"/>
      <c r="V50" s="7" t="str">
        <f t="shared" si="1"/>
        <v>25071</v>
      </c>
      <c r="W50" s="15" t="str">
        <f t="shared" si="2"/>
        <v>7</v>
      </c>
    </row>
    <row r="51" ht="22.5" customHeight="1">
      <c r="A51" s="16">
        <v>45910.59349759259</v>
      </c>
      <c r="B51" s="17" t="s">
        <v>248</v>
      </c>
      <c r="C51" s="17" t="s">
        <v>19</v>
      </c>
      <c r="D51" s="17" t="s">
        <v>249</v>
      </c>
      <c r="E51" s="17">
        <v>2.4081010023E10</v>
      </c>
      <c r="F51" s="17" t="s">
        <v>150</v>
      </c>
      <c r="G51" s="17" t="s">
        <v>397</v>
      </c>
      <c r="H51" s="17">
        <v>6.285704104688E12</v>
      </c>
      <c r="I51" s="18">
        <v>5.0</v>
      </c>
      <c r="J51" s="17" t="s">
        <v>96</v>
      </c>
      <c r="K51" s="18">
        <v>7.0</v>
      </c>
      <c r="L51" s="18">
        <v>10.0</v>
      </c>
      <c r="M51" s="17" t="s">
        <v>64</v>
      </c>
      <c r="N51" s="17" t="s">
        <v>25</v>
      </c>
      <c r="O51" s="17" t="s">
        <v>26</v>
      </c>
      <c r="P51" s="18">
        <v>5.0</v>
      </c>
      <c r="Q51" s="18">
        <v>5.0</v>
      </c>
      <c r="R51" s="18">
        <v>7.0</v>
      </c>
      <c r="U51" s="8"/>
      <c r="V51" s="7" t="str">
        <f t="shared" si="1"/>
        <v>24081</v>
      </c>
      <c r="W51" s="15" t="str">
        <f t="shared" si="2"/>
        <v>8</v>
      </c>
    </row>
    <row r="52" ht="22.5" customHeight="1">
      <c r="A52" s="4">
        <v>45910.60884988426</v>
      </c>
      <c r="B52" s="5" t="s">
        <v>324</v>
      </c>
      <c r="C52" s="5" t="s">
        <v>19</v>
      </c>
      <c r="D52" s="5" t="s">
        <v>325</v>
      </c>
      <c r="E52" s="5">
        <v>2.4083010033E10</v>
      </c>
      <c r="F52" s="5" t="s">
        <v>150</v>
      </c>
      <c r="G52" s="5" t="s">
        <v>267</v>
      </c>
      <c r="H52" s="5">
        <v>6.2895326046547E13</v>
      </c>
      <c r="I52" s="6">
        <v>2.0</v>
      </c>
      <c r="J52" s="5" t="s">
        <v>23</v>
      </c>
      <c r="K52" s="6">
        <v>4.0</v>
      </c>
      <c r="L52" s="6">
        <v>4.0</v>
      </c>
      <c r="M52" s="5" t="s">
        <v>46</v>
      </c>
      <c r="N52" s="5" t="s">
        <v>25</v>
      </c>
      <c r="O52" s="5" t="s">
        <v>29</v>
      </c>
      <c r="P52" s="6">
        <v>4.0</v>
      </c>
      <c r="Q52" s="6">
        <v>5.0</v>
      </c>
      <c r="R52" s="6">
        <v>4.0</v>
      </c>
      <c r="U52" s="8"/>
      <c r="V52" s="7" t="str">
        <f t="shared" si="1"/>
        <v>24083</v>
      </c>
      <c r="W52" s="15" t="str">
        <f t="shared" si="2"/>
        <v>8</v>
      </c>
    </row>
    <row r="53" ht="22.5" customHeight="1">
      <c r="A53" s="4">
        <v>45910.61047637732</v>
      </c>
      <c r="B53" s="5" t="s">
        <v>326</v>
      </c>
      <c r="C53" s="5" t="s">
        <v>19</v>
      </c>
      <c r="D53" s="5" t="s">
        <v>327</v>
      </c>
      <c r="E53" s="5">
        <v>2.4083010115E10</v>
      </c>
      <c r="F53" s="5" t="s">
        <v>150</v>
      </c>
      <c r="G53" s="5" t="s">
        <v>267</v>
      </c>
      <c r="H53" s="5">
        <v>6.28388378161E11</v>
      </c>
      <c r="I53" s="6">
        <v>10.0</v>
      </c>
      <c r="J53" s="5" t="s">
        <v>23</v>
      </c>
      <c r="K53" s="6">
        <v>4.0</v>
      </c>
      <c r="L53" s="6">
        <v>4.0</v>
      </c>
      <c r="M53" s="5" t="s">
        <v>46</v>
      </c>
      <c r="N53" s="5" t="s">
        <v>25</v>
      </c>
      <c r="O53" s="5" t="s">
        <v>35</v>
      </c>
      <c r="P53" s="6">
        <v>3.0</v>
      </c>
      <c r="Q53" s="6">
        <v>3.0</v>
      </c>
      <c r="R53" s="6">
        <v>1.0</v>
      </c>
      <c r="U53" s="8"/>
      <c r="V53" s="7" t="str">
        <f t="shared" si="1"/>
        <v>24083</v>
      </c>
      <c r="W53" s="15" t="str">
        <f t="shared" si="2"/>
        <v>8</v>
      </c>
    </row>
    <row r="54" ht="22.5" customHeight="1">
      <c r="A54" s="4">
        <v>45910.62743653935</v>
      </c>
      <c r="B54" s="5" t="s">
        <v>328</v>
      </c>
      <c r="C54" s="5" t="s">
        <v>19</v>
      </c>
      <c r="D54" s="5" t="s">
        <v>329</v>
      </c>
      <c r="E54" s="5">
        <v>2.3083010052E10</v>
      </c>
      <c r="F54" s="5" t="s">
        <v>150</v>
      </c>
      <c r="G54" s="5" t="s">
        <v>267</v>
      </c>
      <c r="H54" s="5">
        <v>6.285102320502E12</v>
      </c>
      <c r="I54" s="6">
        <v>3.0</v>
      </c>
      <c r="J54" s="5" t="s">
        <v>23</v>
      </c>
      <c r="K54" s="6">
        <v>5.0</v>
      </c>
      <c r="L54" s="6">
        <v>5.0</v>
      </c>
      <c r="M54" s="5" t="s">
        <v>46</v>
      </c>
      <c r="N54" s="5" t="s">
        <v>25</v>
      </c>
      <c r="O54" s="5" t="s">
        <v>35</v>
      </c>
      <c r="P54" s="6">
        <v>3.0</v>
      </c>
      <c r="Q54" s="6">
        <v>4.0</v>
      </c>
      <c r="R54" s="6">
        <v>1.0</v>
      </c>
      <c r="U54" s="8"/>
      <c r="V54" s="7" t="str">
        <f t="shared" si="1"/>
        <v>23083</v>
      </c>
      <c r="W54" s="15" t="str">
        <f t="shared" si="2"/>
        <v>8</v>
      </c>
    </row>
    <row r="55" ht="22.5" customHeight="1">
      <c r="A55" s="16">
        <v>45910.63325805556</v>
      </c>
      <c r="B55" s="17" t="s">
        <v>411</v>
      </c>
      <c r="C55" s="17" t="s">
        <v>19</v>
      </c>
      <c r="D55" s="17" t="s">
        <v>412</v>
      </c>
      <c r="E55" s="17">
        <v>6.67654345E8</v>
      </c>
      <c r="F55" s="17" t="s">
        <v>105</v>
      </c>
      <c r="G55" s="17" t="s">
        <v>407</v>
      </c>
      <c r="H55" s="17">
        <v>6.285607336937E12</v>
      </c>
      <c r="I55" s="18">
        <v>5.0</v>
      </c>
      <c r="J55" s="17" t="s">
        <v>23</v>
      </c>
      <c r="K55" s="18">
        <v>6.0</v>
      </c>
      <c r="L55" s="18">
        <v>5.0</v>
      </c>
      <c r="M55" s="17" t="s">
        <v>24</v>
      </c>
      <c r="N55" s="17" t="s">
        <v>25</v>
      </c>
      <c r="O55" s="17" t="s">
        <v>29</v>
      </c>
      <c r="P55" s="18">
        <v>4.0</v>
      </c>
      <c r="Q55" s="18">
        <v>3.0</v>
      </c>
      <c r="R55" s="18">
        <v>1.0</v>
      </c>
      <c r="U55" s="8"/>
      <c r="V55" s="7" t="str">
        <f t="shared" si="1"/>
        <v>66765</v>
      </c>
      <c r="W55" s="15" t="str">
        <f t="shared" si="2"/>
        <v>6</v>
      </c>
    </row>
    <row r="56" ht="22.5" customHeight="1">
      <c r="A56" s="4">
        <v>45910.654258078706</v>
      </c>
      <c r="B56" s="5" t="s">
        <v>369</v>
      </c>
      <c r="C56" s="5" t="s">
        <v>19</v>
      </c>
      <c r="D56" s="5" t="s">
        <v>370</v>
      </c>
      <c r="E56" s="5">
        <v>2.4032010068E10</v>
      </c>
      <c r="F56" s="5" t="s">
        <v>160</v>
      </c>
      <c r="G56" s="5" t="s">
        <v>413</v>
      </c>
      <c r="H56" s="5">
        <v>6.287707001308E12</v>
      </c>
      <c r="I56" s="6">
        <v>10.0</v>
      </c>
      <c r="J56" s="5" t="s">
        <v>34</v>
      </c>
      <c r="K56" s="6">
        <v>5.0</v>
      </c>
      <c r="L56" s="6">
        <v>3.0</v>
      </c>
      <c r="M56" s="5" t="s">
        <v>46</v>
      </c>
      <c r="N56" s="5" t="s">
        <v>25</v>
      </c>
      <c r="O56" s="5" t="s">
        <v>26</v>
      </c>
      <c r="P56" s="6">
        <v>4.0</v>
      </c>
      <c r="Q56" s="6">
        <v>5.0</v>
      </c>
      <c r="R56" s="6">
        <v>3.0</v>
      </c>
      <c r="U56" s="8"/>
      <c r="V56" s="7" t="str">
        <f t="shared" si="1"/>
        <v>24032</v>
      </c>
      <c r="W56" s="15" t="str">
        <f t="shared" si="2"/>
        <v>3</v>
      </c>
    </row>
    <row r="57" ht="22.5" customHeight="1">
      <c r="A57" s="4">
        <v>45910.67552016204</v>
      </c>
      <c r="B57" s="5" t="s">
        <v>330</v>
      </c>
      <c r="C57" s="5" t="s">
        <v>19</v>
      </c>
      <c r="D57" s="5" t="s">
        <v>331</v>
      </c>
      <c r="E57" s="5">
        <v>2.4083010085E10</v>
      </c>
      <c r="F57" s="5" t="s">
        <v>150</v>
      </c>
      <c r="G57" s="5" t="s">
        <v>267</v>
      </c>
      <c r="H57" s="5">
        <v>6.281322422613E12</v>
      </c>
      <c r="I57" s="6">
        <v>5.0</v>
      </c>
      <c r="J57" s="5" t="s">
        <v>34</v>
      </c>
      <c r="K57" s="6">
        <v>4.0</v>
      </c>
      <c r="L57" s="6">
        <v>2.0</v>
      </c>
      <c r="M57" s="5" t="s">
        <v>24</v>
      </c>
      <c r="N57" s="5" t="s">
        <v>25</v>
      </c>
      <c r="O57" s="5" t="s">
        <v>35</v>
      </c>
      <c r="P57" s="6">
        <v>3.0</v>
      </c>
      <c r="Q57" s="6">
        <v>3.0</v>
      </c>
      <c r="R57" s="6">
        <v>1.0</v>
      </c>
      <c r="U57" s="8"/>
      <c r="V57" s="7" t="str">
        <f t="shared" si="1"/>
        <v>24083</v>
      </c>
      <c r="W57" s="15" t="str">
        <f t="shared" si="2"/>
        <v>8</v>
      </c>
    </row>
    <row r="58" ht="22.5" customHeight="1">
      <c r="A58" s="4">
        <v>45910.693988009254</v>
      </c>
      <c r="B58" s="5" t="s">
        <v>332</v>
      </c>
      <c r="C58" s="5" t="s">
        <v>19</v>
      </c>
      <c r="D58" s="5" t="s">
        <v>333</v>
      </c>
      <c r="E58" s="5">
        <v>2.4083010089E10</v>
      </c>
      <c r="F58" s="5" t="s">
        <v>150</v>
      </c>
      <c r="G58" s="5" t="s">
        <v>267</v>
      </c>
      <c r="H58" s="5">
        <v>6.28216169799E12</v>
      </c>
      <c r="I58" s="6">
        <v>3.0</v>
      </c>
      <c r="J58" s="5" t="s">
        <v>34</v>
      </c>
      <c r="K58" s="6">
        <v>6.0</v>
      </c>
      <c r="L58" s="6">
        <v>4.0</v>
      </c>
      <c r="M58" s="5" t="s">
        <v>24</v>
      </c>
      <c r="N58" s="5" t="s">
        <v>25</v>
      </c>
      <c r="O58" s="5" t="s">
        <v>35</v>
      </c>
      <c r="P58" s="6">
        <v>3.0</v>
      </c>
      <c r="Q58" s="6">
        <v>3.0</v>
      </c>
      <c r="R58" s="6">
        <v>2.0</v>
      </c>
      <c r="U58" s="8"/>
      <c r="V58" s="7" t="str">
        <f t="shared" si="1"/>
        <v>24083</v>
      </c>
      <c r="W58" s="15" t="str">
        <f t="shared" si="2"/>
        <v>8</v>
      </c>
    </row>
    <row r="59" ht="22.5" customHeight="1">
      <c r="A59" s="16">
        <v>45910.73919645834</v>
      </c>
      <c r="B59" s="17" t="s">
        <v>414</v>
      </c>
      <c r="C59" s="17" t="s">
        <v>19</v>
      </c>
      <c r="D59" s="17" t="s">
        <v>415</v>
      </c>
      <c r="E59" s="17">
        <v>2.408301009E10</v>
      </c>
      <c r="F59" s="17" t="s">
        <v>150</v>
      </c>
      <c r="G59" s="17" t="s">
        <v>267</v>
      </c>
      <c r="H59" s="17">
        <v>6.28970416322E11</v>
      </c>
      <c r="I59" s="18">
        <v>0.0</v>
      </c>
      <c r="J59" s="17" t="s">
        <v>34</v>
      </c>
      <c r="K59" s="18">
        <v>0.0</v>
      </c>
      <c r="L59" s="18">
        <v>0.0</v>
      </c>
      <c r="M59" s="17" t="s">
        <v>49</v>
      </c>
      <c r="N59" s="17" t="s">
        <v>25</v>
      </c>
      <c r="O59" s="17" t="s">
        <v>35</v>
      </c>
      <c r="P59" s="18">
        <v>3.0</v>
      </c>
      <c r="Q59" s="18">
        <v>3.0</v>
      </c>
      <c r="R59" s="18">
        <v>0.0</v>
      </c>
      <c r="U59" s="8"/>
      <c r="V59" s="7" t="str">
        <f t="shared" si="1"/>
        <v>24083</v>
      </c>
      <c r="W59" s="15" t="str">
        <f t="shared" si="2"/>
        <v>8</v>
      </c>
    </row>
    <row r="60" ht="22.5" customHeight="1">
      <c r="A60" s="4">
        <v>45910.76983804398</v>
      </c>
      <c r="B60" s="5" t="s">
        <v>334</v>
      </c>
      <c r="C60" s="5" t="s">
        <v>19</v>
      </c>
      <c r="D60" s="5" t="s">
        <v>335</v>
      </c>
      <c r="E60" s="5">
        <v>2.4083010107E10</v>
      </c>
      <c r="F60" s="5" t="s">
        <v>150</v>
      </c>
      <c r="G60" s="5" t="s">
        <v>267</v>
      </c>
      <c r="H60" s="5">
        <v>6.2123406813E11</v>
      </c>
      <c r="I60" s="6">
        <v>4.0</v>
      </c>
      <c r="J60" s="5" t="s">
        <v>96</v>
      </c>
      <c r="K60" s="6">
        <v>5.0</v>
      </c>
      <c r="L60" s="6">
        <v>4.0</v>
      </c>
      <c r="M60" s="5" t="s">
        <v>64</v>
      </c>
      <c r="N60" s="5" t="s">
        <v>25</v>
      </c>
      <c r="O60" s="5" t="s">
        <v>26</v>
      </c>
      <c r="P60" s="6">
        <v>5.0</v>
      </c>
      <c r="Q60" s="6">
        <v>4.0</v>
      </c>
      <c r="R60" s="6">
        <v>2.0</v>
      </c>
      <c r="U60" s="8"/>
      <c r="V60" s="7" t="str">
        <f t="shared" si="1"/>
        <v>24083</v>
      </c>
      <c r="W60" s="15" t="str">
        <f t="shared" si="2"/>
        <v>8</v>
      </c>
    </row>
    <row r="61" ht="22.5" customHeight="1">
      <c r="A61" s="4">
        <v>45910.78341121528</v>
      </c>
      <c r="B61" s="5" t="s">
        <v>250</v>
      </c>
      <c r="C61" s="5" t="s">
        <v>19</v>
      </c>
      <c r="D61" s="5" t="s">
        <v>251</v>
      </c>
      <c r="E61" s="5">
        <v>2.5081010071E10</v>
      </c>
      <c r="F61" s="5" t="s">
        <v>150</v>
      </c>
      <c r="G61" s="5" t="s">
        <v>397</v>
      </c>
      <c r="H61" s="5">
        <v>6.282340526729E12</v>
      </c>
      <c r="I61" s="6">
        <v>1.0</v>
      </c>
      <c r="J61" s="5" t="s">
        <v>23</v>
      </c>
      <c r="K61" s="6">
        <v>3.0</v>
      </c>
      <c r="L61" s="6">
        <v>2.0</v>
      </c>
      <c r="M61" s="5" t="s">
        <v>24</v>
      </c>
      <c r="N61" s="5" t="s">
        <v>25</v>
      </c>
      <c r="O61" s="5" t="s">
        <v>26</v>
      </c>
      <c r="P61" s="6">
        <v>5.0</v>
      </c>
      <c r="Q61" s="6">
        <v>5.0</v>
      </c>
      <c r="R61" s="6">
        <v>2.0</v>
      </c>
      <c r="U61" s="8"/>
      <c r="V61" s="7" t="str">
        <f t="shared" si="1"/>
        <v>25081</v>
      </c>
      <c r="W61" s="15" t="str">
        <f t="shared" si="2"/>
        <v>8</v>
      </c>
    </row>
    <row r="62" ht="22.5" customHeight="1">
      <c r="A62" s="4">
        <v>45910.81118877315</v>
      </c>
      <c r="B62" s="5" t="s">
        <v>367</v>
      </c>
      <c r="C62" s="5" t="s">
        <v>19</v>
      </c>
      <c r="D62" s="5" t="s">
        <v>368</v>
      </c>
      <c r="E62" s="5">
        <v>2.5082010169E10</v>
      </c>
      <c r="F62" s="5" t="s">
        <v>150</v>
      </c>
      <c r="G62" s="5" t="s">
        <v>362</v>
      </c>
      <c r="H62" s="5">
        <v>6.283852385937E12</v>
      </c>
      <c r="I62" s="6">
        <v>4.0</v>
      </c>
      <c r="J62" s="5" t="s">
        <v>23</v>
      </c>
      <c r="K62" s="6">
        <v>4.0</v>
      </c>
      <c r="L62" s="6">
        <v>1.0</v>
      </c>
      <c r="M62" s="5" t="s">
        <v>46</v>
      </c>
      <c r="N62" s="5" t="s">
        <v>25</v>
      </c>
      <c r="O62" s="5" t="s">
        <v>29</v>
      </c>
      <c r="P62" s="6">
        <v>3.0</v>
      </c>
      <c r="Q62" s="6">
        <v>4.0</v>
      </c>
      <c r="R62" s="6">
        <v>4.0</v>
      </c>
      <c r="U62" s="8"/>
      <c r="V62" s="7" t="str">
        <f t="shared" si="1"/>
        <v>25082</v>
      </c>
      <c r="W62" s="15" t="str">
        <f t="shared" si="2"/>
        <v>8</v>
      </c>
    </row>
    <row r="63" ht="22.5" customHeight="1">
      <c r="A63" s="4">
        <v>45910.84378956018</v>
      </c>
      <c r="B63" s="5" t="s">
        <v>336</v>
      </c>
      <c r="C63" s="5" t="s">
        <v>19</v>
      </c>
      <c r="D63" s="5" t="s">
        <v>337</v>
      </c>
      <c r="E63" s="5">
        <v>2.3083010046E10</v>
      </c>
      <c r="F63" s="5" t="s">
        <v>150</v>
      </c>
      <c r="G63" s="5" t="s">
        <v>267</v>
      </c>
      <c r="H63" s="5">
        <v>6.288228470608E12</v>
      </c>
      <c r="I63" s="6">
        <v>5.0</v>
      </c>
      <c r="J63" s="5" t="s">
        <v>23</v>
      </c>
      <c r="K63" s="6">
        <v>3.0</v>
      </c>
      <c r="L63" s="6">
        <v>1.0</v>
      </c>
      <c r="M63" s="5" t="s">
        <v>24</v>
      </c>
      <c r="N63" s="5" t="s">
        <v>25</v>
      </c>
      <c r="O63" s="5" t="s">
        <v>26</v>
      </c>
      <c r="P63" s="6">
        <v>5.0</v>
      </c>
      <c r="Q63" s="6">
        <v>5.0</v>
      </c>
      <c r="R63" s="6">
        <v>5.0</v>
      </c>
      <c r="U63" s="8"/>
      <c r="V63" s="7" t="str">
        <f t="shared" si="1"/>
        <v>23083</v>
      </c>
      <c r="W63" s="15" t="str">
        <f t="shared" si="2"/>
        <v>8</v>
      </c>
    </row>
    <row r="64" ht="22.5" customHeight="1">
      <c r="A64" s="4">
        <v>45910.85020862268</v>
      </c>
      <c r="B64" s="5" t="s">
        <v>338</v>
      </c>
      <c r="C64" s="5" t="s">
        <v>19</v>
      </c>
      <c r="D64" s="5" t="s">
        <v>339</v>
      </c>
      <c r="E64" s="5">
        <v>2.4083010058E10</v>
      </c>
      <c r="F64" s="5" t="s">
        <v>150</v>
      </c>
      <c r="G64" s="5" t="s">
        <v>267</v>
      </c>
      <c r="H64" s="5">
        <v>6.285608152545E12</v>
      </c>
      <c r="I64" s="6">
        <v>9.0</v>
      </c>
      <c r="J64" s="5" t="s">
        <v>23</v>
      </c>
      <c r="K64" s="6">
        <v>5.0</v>
      </c>
      <c r="L64" s="6">
        <v>2.0</v>
      </c>
      <c r="M64" s="5" t="s">
        <v>64</v>
      </c>
      <c r="N64" s="5" t="s">
        <v>25</v>
      </c>
      <c r="O64" s="5" t="s">
        <v>29</v>
      </c>
      <c r="P64" s="6">
        <v>3.0</v>
      </c>
      <c r="Q64" s="6">
        <v>3.0</v>
      </c>
      <c r="R64" s="6">
        <v>4.0</v>
      </c>
      <c r="U64" s="8"/>
      <c r="V64" s="7" t="str">
        <f t="shared" si="1"/>
        <v>24083</v>
      </c>
      <c r="W64" s="15" t="str">
        <f t="shared" si="2"/>
        <v>8</v>
      </c>
    </row>
    <row r="65" ht="22.5" customHeight="1">
      <c r="A65" s="4">
        <v>45910.9038872338</v>
      </c>
      <c r="B65" s="5" t="s">
        <v>340</v>
      </c>
      <c r="C65" s="5" t="s">
        <v>19</v>
      </c>
      <c r="D65" s="5" t="s">
        <v>341</v>
      </c>
      <c r="E65" s="5">
        <v>2.40830101E10</v>
      </c>
      <c r="F65" s="5" t="s">
        <v>150</v>
      </c>
      <c r="G65" s="5" t="s">
        <v>267</v>
      </c>
      <c r="H65" s="5">
        <v>6.289629652088E12</v>
      </c>
      <c r="I65" s="6">
        <v>2.0</v>
      </c>
      <c r="J65" s="5" t="s">
        <v>196</v>
      </c>
      <c r="K65" s="6">
        <v>3.0</v>
      </c>
      <c r="L65" s="6">
        <v>0.0</v>
      </c>
      <c r="M65" s="5" t="s">
        <v>49</v>
      </c>
      <c r="N65" s="5" t="s">
        <v>25</v>
      </c>
      <c r="O65" s="5" t="s">
        <v>35</v>
      </c>
      <c r="P65" s="6">
        <v>3.0</v>
      </c>
      <c r="Q65" s="6">
        <v>4.0</v>
      </c>
      <c r="R65" s="6">
        <v>3.0</v>
      </c>
      <c r="U65" s="8"/>
      <c r="V65" s="7" t="str">
        <f t="shared" si="1"/>
        <v>24083</v>
      </c>
      <c r="W65" s="15" t="str">
        <f t="shared" si="2"/>
        <v>8</v>
      </c>
    </row>
    <row r="66" ht="22.5" customHeight="1">
      <c r="A66" s="4">
        <v>45910.94157945602</v>
      </c>
      <c r="B66" s="5" t="s">
        <v>342</v>
      </c>
      <c r="C66" s="5" t="s">
        <v>19</v>
      </c>
      <c r="D66" s="5" t="s">
        <v>343</v>
      </c>
      <c r="E66" s="5">
        <v>2.30830101E10</v>
      </c>
      <c r="F66" s="5" t="s">
        <v>150</v>
      </c>
      <c r="G66" s="5" t="s">
        <v>267</v>
      </c>
      <c r="H66" s="5">
        <v>6.281233476904E12</v>
      </c>
      <c r="I66" s="6">
        <v>3.0</v>
      </c>
      <c r="J66" s="5" t="s">
        <v>23</v>
      </c>
      <c r="K66" s="6">
        <v>5.0</v>
      </c>
      <c r="L66" s="6">
        <v>5.0</v>
      </c>
      <c r="M66" s="5" t="s">
        <v>24</v>
      </c>
      <c r="N66" s="5" t="s">
        <v>25</v>
      </c>
      <c r="O66" s="5" t="s">
        <v>26</v>
      </c>
      <c r="P66" s="6">
        <v>5.0</v>
      </c>
      <c r="Q66" s="6">
        <v>5.0</v>
      </c>
      <c r="R66" s="6">
        <v>9.0</v>
      </c>
      <c r="U66" s="8"/>
      <c r="V66" s="7" t="str">
        <f t="shared" si="1"/>
        <v>23083</v>
      </c>
      <c r="W66" s="15" t="str">
        <f t="shared" si="2"/>
        <v>8</v>
      </c>
    </row>
    <row r="67" ht="22.5" customHeight="1">
      <c r="A67" s="4">
        <v>45911.30732541667</v>
      </c>
      <c r="B67" s="5" t="s">
        <v>344</v>
      </c>
      <c r="C67" s="5" t="s">
        <v>19</v>
      </c>
      <c r="D67" s="5" t="s">
        <v>345</v>
      </c>
      <c r="E67" s="5">
        <v>2.408301003E10</v>
      </c>
      <c r="F67" s="5" t="s">
        <v>150</v>
      </c>
      <c r="G67" s="5" t="s">
        <v>267</v>
      </c>
      <c r="H67" s="5">
        <v>6.287846270459E12</v>
      </c>
      <c r="I67" s="5">
        <v>36.0</v>
      </c>
      <c r="J67" s="5" t="s">
        <v>23</v>
      </c>
      <c r="K67" s="5">
        <v>4.0</v>
      </c>
      <c r="L67" s="5">
        <v>1.0</v>
      </c>
      <c r="M67" s="5" t="s">
        <v>24</v>
      </c>
      <c r="N67" s="5" t="s">
        <v>25</v>
      </c>
      <c r="O67" s="5" t="s">
        <v>29</v>
      </c>
      <c r="P67" s="5">
        <v>2.0</v>
      </c>
      <c r="Q67" s="5">
        <v>2.0</v>
      </c>
      <c r="R67" s="5">
        <v>1.0</v>
      </c>
      <c r="V67" s="7" t="str">
        <f t="shared" si="1"/>
        <v>24083</v>
      </c>
      <c r="W67" s="15" t="str">
        <f t="shared" si="2"/>
        <v>8</v>
      </c>
    </row>
    <row r="68" ht="22.5" customHeight="1">
      <c r="A68" s="4">
        <v>45911.30747353009</v>
      </c>
      <c r="B68" s="5" t="s">
        <v>103</v>
      </c>
      <c r="C68" s="5" t="s">
        <v>19</v>
      </c>
      <c r="D68" s="5" t="s">
        <v>104</v>
      </c>
      <c r="E68" s="5">
        <v>2.4013010342E10</v>
      </c>
      <c r="F68" s="5" t="s">
        <v>105</v>
      </c>
      <c r="G68" s="5" t="s">
        <v>106</v>
      </c>
      <c r="H68" s="5">
        <v>6.2811330006E10</v>
      </c>
      <c r="I68" s="5">
        <v>3.0</v>
      </c>
      <c r="J68" s="5" t="s">
        <v>23</v>
      </c>
      <c r="K68" s="5">
        <v>7.0</v>
      </c>
      <c r="L68" s="5">
        <v>3.0</v>
      </c>
      <c r="M68" s="5" t="s">
        <v>24</v>
      </c>
      <c r="N68" s="5" t="s">
        <v>25</v>
      </c>
      <c r="O68" s="5" t="s">
        <v>29</v>
      </c>
      <c r="P68" s="5">
        <v>4.0</v>
      </c>
      <c r="Q68" s="5">
        <v>4.0</v>
      </c>
      <c r="R68" s="5">
        <v>3.0</v>
      </c>
      <c r="V68" s="7" t="str">
        <f t="shared" si="1"/>
        <v>24013</v>
      </c>
      <c r="W68" s="15" t="str">
        <f t="shared" si="2"/>
        <v>1</v>
      </c>
    </row>
    <row r="69" ht="22.5" customHeight="1">
      <c r="A69" s="4">
        <v>45911.30764899305</v>
      </c>
      <c r="B69" s="5" t="s">
        <v>107</v>
      </c>
      <c r="C69" s="5" t="s">
        <v>19</v>
      </c>
      <c r="D69" s="5" t="s">
        <v>108</v>
      </c>
      <c r="E69" s="5">
        <v>2.4013010378E10</v>
      </c>
      <c r="F69" s="5" t="s">
        <v>105</v>
      </c>
      <c r="G69" s="5" t="s">
        <v>106</v>
      </c>
      <c r="H69" s="5">
        <v>6.285941356456E12</v>
      </c>
      <c r="I69" s="5">
        <v>3.0</v>
      </c>
      <c r="J69" s="5" t="s">
        <v>34</v>
      </c>
      <c r="K69" s="5">
        <v>7.0</v>
      </c>
      <c r="L69" s="5">
        <v>3.0</v>
      </c>
      <c r="M69" s="5" t="s">
        <v>24</v>
      </c>
      <c r="N69" s="5" t="s">
        <v>25</v>
      </c>
      <c r="O69" s="5" t="s">
        <v>29</v>
      </c>
      <c r="P69" s="5">
        <v>3.0</v>
      </c>
      <c r="Q69" s="5">
        <v>4.0</v>
      </c>
      <c r="R69" s="5">
        <v>4.0</v>
      </c>
      <c r="V69" s="7" t="str">
        <f t="shared" si="1"/>
        <v>24013</v>
      </c>
      <c r="W69" s="15" t="str">
        <f t="shared" si="2"/>
        <v>1</v>
      </c>
    </row>
    <row r="70" ht="22.5" customHeight="1">
      <c r="A70" s="4">
        <v>45911.307963287036</v>
      </c>
      <c r="B70" s="5" t="s">
        <v>109</v>
      </c>
      <c r="C70" s="5" t="s">
        <v>19</v>
      </c>
      <c r="D70" s="5" t="s">
        <v>110</v>
      </c>
      <c r="E70" s="5">
        <v>2.4013010251E10</v>
      </c>
      <c r="F70" s="5" t="s">
        <v>105</v>
      </c>
      <c r="G70" s="5" t="s">
        <v>106</v>
      </c>
      <c r="H70" s="5">
        <v>6.289513772105E12</v>
      </c>
      <c r="I70" s="5">
        <v>5.0</v>
      </c>
      <c r="J70" s="5" t="s">
        <v>34</v>
      </c>
      <c r="K70" s="5">
        <v>4.0</v>
      </c>
      <c r="L70" s="5">
        <v>4.0</v>
      </c>
      <c r="M70" s="5" t="s">
        <v>24</v>
      </c>
      <c r="N70" s="5" t="s">
        <v>25</v>
      </c>
      <c r="O70" s="5" t="s">
        <v>29</v>
      </c>
      <c r="P70" s="5">
        <v>5.0</v>
      </c>
      <c r="Q70" s="5">
        <v>5.0</v>
      </c>
      <c r="R70" s="5">
        <v>3.0</v>
      </c>
      <c r="V70" s="7" t="str">
        <f t="shared" si="1"/>
        <v>24013</v>
      </c>
      <c r="W70" s="15" t="str">
        <f t="shared" si="2"/>
        <v>1</v>
      </c>
    </row>
    <row r="71" ht="22.5" customHeight="1">
      <c r="A71" s="4">
        <v>45911.30900488426</v>
      </c>
      <c r="B71" s="5" t="s">
        <v>111</v>
      </c>
      <c r="C71" s="5" t="s">
        <v>19</v>
      </c>
      <c r="D71" s="5" t="s">
        <v>112</v>
      </c>
      <c r="E71" s="5">
        <v>2.4013010302E10</v>
      </c>
      <c r="F71" s="5" t="s">
        <v>105</v>
      </c>
      <c r="G71" s="5" t="s">
        <v>106</v>
      </c>
      <c r="H71" s="5">
        <v>6.281357644365E12</v>
      </c>
      <c r="I71" s="5">
        <v>8.0</v>
      </c>
      <c r="J71" s="5" t="s">
        <v>34</v>
      </c>
      <c r="K71" s="5">
        <v>6.0</v>
      </c>
      <c r="L71" s="5">
        <v>7.0</v>
      </c>
      <c r="M71" s="5" t="s">
        <v>24</v>
      </c>
      <c r="N71" s="5" t="s">
        <v>25</v>
      </c>
      <c r="O71" s="5" t="s">
        <v>29</v>
      </c>
      <c r="P71" s="5">
        <v>4.0</v>
      </c>
      <c r="Q71" s="5">
        <v>4.0</v>
      </c>
      <c r="R71" s="5">
        <v>3.0</v>
      </c>
      <c r="V71" s="7" t="str">
        <f t="shared" si="1"/>
        <v>24013</v>
      </c>
      <c r="W71" s="15" t="str">
        <f t="shared" si="2"/>
        <v>1</v>
      </c>
    </row>
    <row r="72" ht="22.5" customHeight="1">
      <c r="A72" s="4">
        <v>45911.30929773148</v>
      </c>
      <c r="B72" s="5" t="s">
        <v>113</v>
      </c>
      <c r="C72" s="5" t="s">
        <v>19</v>
      </c>
      <c r="D72" s="5" t="s">
        <v>114</v>
      </c>
      <c r="E72" s="5">
        <v>2.4013010257E10</v>
      </c>
      <c r="F72" s="5" t="s">
        <v>105</v>
      </c>
      <c r="G72" s="5" t="s">
        <v>106</v>
      </c>
      <c r="H72" s="5">
        <v>6.28968718493E12</v>
      </c>
      <c r="I72" s="5">
        <v>6.0</v>
      </c>
      <c r="J72" s="5" t="s">
        <v>23</v>
      </c>
      <c r="K72" s="5">
        <v>4.0</v>
      </c>
      <c r="L72" s="5">
        <v>2.0</v>
      </c>
      <c r="M72" s="5" t="s">
        <v>24</v>
      </c>
      <c r="N72" s="5" t="s">
        <v>25</v>
      </c>
      <c r="O72" s="5" t="s">
        <v>26</v>
      </c>
      <c r="P72" s="5">
        <v>3.0</v>
      </c>
      <c r="Q72" s="5">
        <v>3.0</v>
      </c>
      <c r="R72" s="5">
        <v>2.0</v>
      </c>
      <c r="V72" s="7" t="str">
        <f t="shared" si="1"/>
        <v>24013</v>
      </c>
      <c r="W72" s="15" t="str">
        <f t="shared" si="2"/>
        <v>1</v>
      </c>
    </row>
    <row r="73" ht="22.5" customHeight="1">
      <c r="A73" s="4">
        <v>45911.30930519676</v>
      </c>
      <c r="B73" s="5" t="s">
        <v>115</v>
      </c>
      <c r="C73" s="5" t="s">
        <v>19</v>
      </c>
      <c r="D73" s="5" t="s">
        <v>116</v>
      </c>
      <c r="E73" s="5">
        <v>2.4013010122E10</v>
      </c>
      <c r="F73" s="5" t="s">
        <v>105</v>
      </c>
      <c r="G73" s="5" t="s">
        <v>106</v>
      </c>
      <c r="H73" s="5">
        <v>6.288231281876E12</v>
      </c>
      <c r="I73" s="5">
        <v>6.0</v>
      </c>
      <c r="J73" s="5" t="s">
        <v>23</v>
      </c>
      <c r="K73" s="5">
        <v>1.0</v>
      </c>
      <c r="L73" s="5">
        <v>2.0</v>
      </c>
      <c r="M73" s="5" t="s">
        <v>24</v>
      </c>
      <c r="N73" s="5" t="s">
        <v>25</v>
      </c>
      <c r="O73" s="5" t="s">
        <v>26</v>
      </c>
      <c r="P73" s="5">
        <v>4.0</v>
      </c>
      <c r="Q73" s="5">
        <v>2.0</v>
      </c>
      <c r="R73" s="5">
        <v>1.0</v>
      </c>
      <c r="V73" s="7" t="str">
        <f t="shared" si="1"/>
        <v>24013</v>
      </c>
      <c r="W73" s="15" t="str">
        <f t="shared" si="2"/>
        <v>1</v>
      </c>
    </row>
    <row r="74" ht="22.5" customHeight="1">
      <c r="A74" s="4">
        <v>45911.30946590278</v>
      </c>
      <c r="B74" s="5" t="s">
        <v>117</v>
      </c>
      <c r="C74" s="5" t="s">
        <v>19</v>
      </c>
      <c r="D74" s="5" t="s">
        <v>118</v>
      </c>
      <c r="E74" s="5">
        <v>2.4013010169E10</v>
      </c>
      <c r="F74" s="5" t="s">
        <v>105</v>
      </c>
      <c r="G74" s="5" t="s">
        <v>416</v>
      </c>
      <c r="H74" s="5">
        <v>6.282137203155E12</v>
      </c>
      <c r="I74" s="5">
        <v>4.0</v>
      </c>
      <c r="J74" s="5" t="s">
        <v>34</v>
      </c>
      <c r="K74" s="5">
        <v>4.0</v>
      </c>
      <c r="L74" s="5">
        <v>4.0</v>
      </c>
      <c r="M74" s="5" t="s">
        <v>24</v>
      </c>
      <c r="N74" s="5" t="s">
        <v>25</v>
      </c>
      <c r="O74" s="5" t="s">
        <v>26</v>
      </c>
      <c r="P74" s="5">
        <v>5.0</v>
      </c>
      <c r="Q74" s="5">
        <v>5.0</v>
      </c>
      <c r="R74" s="5">
        <v>1.0</v>
      </c>
      <c r="V74" s="7" t="str">
        <f t="shared" si="1"/>
        <v>24013</v>
      </c>
      <c r="W74" s="15" t="str">
        <f t="shared" si="2"/>
        <v>1</v>
      </c>
    </row>
    <row r="75" ht="22.5" customHeight="1">
      <c r="A75" s="4">
        <v>45911.30950347222</v>
      </c>
      <c r="B75" s="5" t="s">
        <v>119</v>
      </c>
      <c r="C75" s="5" t="s">
        <v>19</v>
      </c>
      <c r="D75" s="5" t="s">
        <v>120</v>
      </c>
      <c r="E75" s="5">
        <v>2.4013010194E10</v>
      </c>
      <c r="F75" s="5" t="s">
        <v>105</v>
      </c>
      <c r="G75" s="5" t="s">
        <v>106</v>
      </c>
      <c r="H75" s="5">
        <v>6.28570413148E12</v>
      </c>
      <c r="I75" s="5">
        <v>5.0</v>
      </c>
      <c r="J75" s="5" t="s">
        <v>23</v>
      </c>
      <c r="K75" s="5">
        <v>4.0</v>
      </c>
      <c r="L75" s="5">
        <v>1.0</v>
      </c>
      <c r="M75" s="5" t="s">
        <v>24</v>
      </c>
      <c r="N75" s="5" t="s">
        <v>25</v>
      </c>
      <c r="O75" s="5" t="s">
        <v>26</v>
      </c>
      <c r="P75" s="5">
        <v>4.0</v>
      </c>
      <c r="Q75" s="5">
        <v>5.0</v>
      </c>
      <c r="R75" s="5">
        <v>3.0</v>
      </c>
      <c r="V75" s="7" t="str">
        <f t="shared" si="1"/>
        <v>24013</v>
      </c>
      <c r="W75" s="15" t="str">
        <f t="shared" si="2"/>
        <v>1</v>
      </c>
    </row>
    <row r="76" ht="22.5" customHeight="1">
      <c r="A76" s="4">
        <v>45911.30970509259</v>
      </c>
      <c r="B76" s="5" t="s">
        <v>121</v>
      </c>
      <c r="C76" s="5" t="s">
        <v>19</v>
      </c>
      <c r="D76" s="5" t="s">
        <v>122</v>
      </c>
      <c r="E76" s="5">
        <v>2.4013010187E10</v>
      </c>
      <c r="F76" s="5" t="s">
        <v>105</v>
      </c>
      <c r="G76" s="5" t="s">
        <v>416</v>
      </c>
      <c r="H76" s="5">
        <v>6.288235929703E12</v>
      </c>
      <c r="I76" s="5">
        <v>6.0</v>
      </c>
      <c r="J76" s="5" t="s">
        <v>34</v>
      </c>
      <c r="K76" s="5">
        <v>4.0</v>
      </c>
      <c r="L76" s="5">
        <v>4.0</v>
      </c>
      <c r="M76" s="5" t="s">
        <v>24</v>
      </c>
      <c r="N76" s="5" t="s">
        <v>25</v>
      </c>
      <c r="O76" s="5" t="s">
        <v>26</v>
      </c>
      <c r="P76" s="5">
        <v>5.0</v>
      </c>
      <c r="Q76" s="5">
        <v>5.0</v>
      </c>
      <c r="R76" s="5">
        <v>3.0</v>
      </c>
      <c r="V76" s="7" t="str">
        <f t="shared" si="1"/>
        <v>24013</v>
      </c>
      <c r="W76" s="15" t="str">
        <f t="shared" si="2"/>
        <v>1</v>
      </c>
    </row>
    <row r="77" ht="22.5" customHeight="1">
      <c r="A77" s="4">
        <v>45911.30973329861</v>
      </c>
      <c r="B77" s="5" t="s">
        <v>123</v>
      </c>
      <c r="C77" s="5" t="s">
        <v>19</v>
      </c>
      <c r="D77" s="5" t="s">
        <v>124</v>
      </c>
      <c r="E77" s="5">
        <v>2.4013010173E10</v>
      </c>
      <c r="F77" s="5" t="s">
        <v>105</v>
      </c>
      <c r="G77" s="5" t="s">
        <v>106</v>
      </c>
      <c r="H77" s="5">
        <v>6.28585946135E12</v>
      </c>
      <c r="I77" s="5">
        <v>6.0</v>
      </c>
      <c r="J77" s="5" t="s">
        <v>34</v>
      </c>
      <c r="K77" s="5">
        <v>4.0</v>
      </c>
      <c r="L77" s="5">
        <v>7.0</v>
      </c>
      <c r="M77" s="5" t="s">
        <v>49</v>
      </c>
      <c r="N77" s="5" t="s">
        <v>25</v>
      </c>
      <c r="O77" s="5" t="s">
        <v>26</v>
      </c>
      <c r="P77" s="5">
        <v>5.0</v>
      </c>
      <c r="Q77" s="5">
        <v>5.0</v>
      </c>
      <c r="R77" s="5">
        <v>3.0</v>
      </c>
      <c r="V77" s="7" t="str">
        <f t="shared" si="1"/>
        <v>24013</v>
      </c>
      <c r="W77" s="15" t="str">
        <f t="shared" si="2"/>
        <v>1</v>
      </c>
    </row>
    <row r="78" ht="22.5" customHeight="1">
      <c r="A78" s="4">
        <v>45911.30974766204</v>
      </c>
      <c r="B78" s="5" t="s">
        <v>125</v>
      </c>
      <c r="C78" s="5" t="s">
        <v>19</v>
      </c>
      <c r="D78" s="5" t="s">
        <v>126</v>
      </c>
      <c r="E78" s="5">
        <v>2.4013010203E10</v>
      </c>
      <c r="F78" s="5" t="s">
        <v>105</v>
      </c>
      <c r="G78" s="5" t="s">
        <v>106</v>
      </c>
      <c r="H78" s="5">
        <v>6.289687634484E12</v>
      </c>
      <c r="I78" s="5">
        <v>6.0</v>
      </c>
      <c r="J78" s="5" t="s">
        <v>23</v>
      </c>
      <c r="K78" s="5">
        <v>4.0</v>
      </c>
      <c r="L78" s="5">
        <v>4.0</v>
      </c>
      <c r="M78" s="5" t="s">
        <v>24</v>
      </c>
      <c r="N78" s="5" t="s">
        <v>25</v>
      </c>
      <c r="O78" s="5" t="s">
        <v>35</v>
      </c>
      <c r="P78" s="5">
        <v>3.0</v>
      </c>
      <c r="Q78" s="5">
        <v>3.0</v>
      </c>
      <c r="R78" s="5">
        <v>2.0</v>
      </c>
      <c r="V78" s="7" t="str">
        <f t="shared" si="1"/>
        <v>24013</v>
      </c>
      <c r="W78" s="15" t="str">
        <f t="shared" si="2"/>
        <v>1</v>
      </c>
    </row>
    <row r="79" ht="22.5" customHeight="1">
      <c r="A79" s="4">
        <v>45911.3098049074</v>
      </c>
      <c r="B79" s="5" t="s">
        <v>127</v>
      </c>
      <c r="C79" s="5" t="s">
        <v>19</v>
      </c>
      <c r="D79" s="5" t="s">
        <v>128</v>
      </c>
      <c r="E79" s="5">
        <v>2.4013010329E10</v>
      </c>
      <c r="F79" s="5" t="s">
        <v>105</v>
      </c>
      <c r="G79" s="5" t="s">
        <v>106</v>
      </c>
      <c r="H79" s="5">
        <v>6.285707116659E12</v>
      </c>
      <c r="I79" s="5">
        <v>5.0</v>
      </c>
      <c r="J79" s="5" t="s">
        <v>23</v>
      </c>
      <c r="K79" s="5">
        <v>4.0</v>
      </c>
      <c r="L79" s="5">
        <v>5.0</v>
      </c>
      <c r="M79" s="5" t="s">
        <v>24</v>
      </c>
      <c r="N79" s="5" t="s">
        <v>25</v>
      </c>
      <c r="O79" s="5" t="s">
        <v>26</v>
      </c>
      <c r="P79" s="5">
        <v>5.0</v>
      </c>
      <c r="Q79" s="5">
        <v>5.0</v>
      </c>
      <c r="R79" s="5">
        <v>3.0</v>
      </c>
      <c r="V79" s="7" t="str">
        <f t="shared" si="1"/>
        <v>24013</v>
      </c>
      <c r="W79" s="15" t="str">
        <f t="shared" si="2"/>
        <v>1</v>
      </c>
    </row>
    <row r="80" ht="22.5" customHeight="1">
      <c r="A80" s="4">
        <v>45911.310158796296</v>
      </c>
      <c r="B80" s="5" t="s">
        <v>129</v>
      </c>
      <c r="C80" s="5" t="s">
        <v>19</v>
      </c>
      <c r="D80" s="5" t="s">
        <v>130</v>
      </c>
      <c r="E80" s="5">
        <v>2.4013010094E10</v>
      </c>
      <c r="F80" s="5" t="s">
        <v>105</v>
      </c>
      <c r="G80" s="5" t="s">
        <v>416</v>
      </c>
      <c r="H80" s="5">
        <v>6.282229299667E12</v>
      </c>
      <c r="I80" s="5">
        <v>1.0</v>
      </c>
      <c r="J80" s="5" t="s">
        <v>34</v>
      </c>
      <c r="K80" s="5">
        <v>2.0</v>
      </c>
      <c r="L80" s="5">
        <v>2.0</v>
      </c>
      <c r="M80" s="5" t="s">
        <v>64</v>
      </c>
      <c r="N80" s="5" t="s">
        <v>25</v>
      </c>
      <c r="O80" s="5" t="s">
        <v>35</v>
      </c>
      <c r="P80" s="5">
        <v>3.0</v>
      </c>
      <c r="Q80" s="5">
        <v>3.0</v>
      </c>
      <c r="R80" s="5">
        <v>3.0</v>
      </c>
      <c r="V80" s="7" t="str">
        <f t="shared" si="1"/>
        <v>24013</v>
      </c>
      <c r="W80" s="15" t="str">
        <f t="shared" si="2"/>
        <v>1</v>
      </c>
    </row>
    <row r="81" ht="22.5" customHeight="1">
      <c r="A81" s="4">
        <v>45911.31052112269</v>
      </c>
      <c r="B81" s="5" t="s">
        <v>131</v>
      </c>
      <c r="C81" s="5" t="s">
        <v>19</v>
      </c>
      <c r="D81" s="5" t="s">
        <v>132</v>
      </c>
      <c r="E81" s="5">
        <v>2.4013010154E10</v>
      </c>
      <c r="F81" s="5" t="s">
        <v>105</v>
      </c>
      <c r="G81" s="5" t="s">
        <v>416</v>
      </c>
      <c r="H81" s="5">
        <v>6.285244933505E12</v>
      </c>
      <c r="I81" s="5">
        <v>6.0</v>
      </c>
      <c r="J81" s="5" t="s">
        <v>23</v>
      </c>
      <c r="K81" s="5">
        <v>4.0</v>
      </c>
      <c r="L81" s="5">
        <v>2.0</v>
      </c>
      <c r="M81" s="5" t="s">
        <v>24</v>
      </c>
      <c r="N81" s="5" t="s">
        <v>25</v>
      </c>
      <c r="O81" s="5" t="s">
        <v>26</v>
      </c>
      <c r="P81" s="5">
        <v>4.0</v>
      </c>
      <c r="Q81" s="5">
        <v>5.0</v>
      </c>
      <c r="R81" s="5">
        <v>1.0</v>
      </c>
      <c r="V81" s="7" t="str">
        <f t="shared" si="1"/>
        <v>24013</v>
      </c>
      <c r="W81" s="15" t="str">
        <f t="shared" si="2"/>
        <v>1</v>
      </c>
    </row>
    <row r="82" ht="22.5" customHeight="1">
      <c r="A82" s="4">
        <v>45911.31064894676</v>
      </c>
      <c r="B82" s="5" t="s">
        <v>133</v>
      </c>
      <c r="C82" s="5" t="s">
        <v>19</v>
      </c>
      <c r="D82" s="5" t="s">
        <v>134</v>
      </c>
      <c r="E82" s="5">
        <v>2.4013010142E10</v>
      </c>
      <c r="F82" s="5" t="s">
        <v>105</v>
      </c>
      <c r="G82" s="5" t="s">
        <v>106</v>
      </c>
      <c r="H82" s="5">
        <v>6.2881024994872E13</v>
      </c>
      <c r="I82" s="5">
        <v>5.0</v>
      </c>
      <c r="J82" s="5" t="s">
        <v>23</v>
      </c>
      <c r="K82" s="5">
        <v>4.0</v>
      </c>
      <c r="L82" s="5">
        <v>3.0</v>
      </c>
      <c r="M82" s="5" t="s">
        <v>24</v>
      </c>
      <c r="N82" s="5" t="s">
        <v>25</v>
      </c>
      <c r="O82" s="5" t="s">
        <v>26</v>
      </c>
      <c r="P82" s="5">
        <v>4.0</v>
      </c>
      <c r="Q82" s="5">
        <v>5.0</v>
      </c>
      <c r="R82" s="5">
        <v>3.0</v>
      </c>
      <c r="V82" s="7" t="str">
        <f t="shared" si="1"/>
        <v>24013</v>
      </c>
      <c r="W82" s="15" t="str">
        <f t="shared" si="2"/>
        <v>1</v>
      </c>
    </row>
    <row r="83" ht="22.5" customHeight="1">
      <c r="A83" s="4">
        <v>45911.3108097338</v>
      </c>
      <c r="B83" s="5" t="s">
        <v>135</v>
      </c>
      <c r="C83" s="5" t="s">
        <v>19</v>
      </c>
      <c r="D83" s="5" t="s">
        <v>136</v>
      </c>
      <c r="E83" s="5">
        <v>2.4013010158E10</v>
      </c>
      <c r="F83" s="5" t="s">
        <v>105</v>
      </c>
      <c r="G83" s="5" t="s">
        <v>106</v>
      </c>
      <c r="H83" s="5">
        <v>6.283849072572E12</v>
      </c>
      <c r="I83" s="5">
        <v>6.0</v>
      </c>
      <c r="J83" s="5" t="s">
        <v>23</v>
      </c>
      <c r="K83" s="5">
        <v>4.0</v>
      </c>
      <c r="L83" s="5">
        <v>2.0</v>
      </c>
      <c r="M83" s="5" t="s">
        <v>24</v>
      </c>
      <c r="N83" s="5" t="s">
        <v>25</v>
      </c>
      <c r="O83" s="5" t="s">
        <v>26</v>
      </c>
      <c r="P83" s="5">
        <v>4.0</v>
      </c>
      <c r="Q83" s="5">
        <v>5.0</v>
      </c>
      <c r="R83" s="5">
        <v>1.0</v>
      </c>
      <c r="V83" s="7" t="str">
        <f t="shared" si="1"/>
        <v>24013</v>
      </c>
      <c r="W83" s="15" t="str">
        <f t="shared" si="2"/>
        <v>1</v>
      </c>
    </row>
    <row r="84" ht="22.5" customHeight="1">
      <c r="A84" s="4">
        <v>45911.311100046296</v>
      </c>
      <c r="B84" s="5" t="s">
        <v>137</v>
      </c>
      <c r="C84" s="5" t="s">
        <v>19</v>
      </c>
      <c r="D84" s="5" t="s">
        <v>138</v>
      </c>
      <c r="E84" s="5">
        <v>2.4013010418E10</v>
      </c>
      <c r="F84" s="5" t="s">
        <v>105</v>
      </c>
      <c r="G84" s="5" t="s">
        <v>416</v>
      </c>
      <c r="H84" s="5">
        <v>6.282226822803E12</v>
      </c>
      <c r="I84" s="5">
        <v>2.0</v>
      </c>
      <c r="J84" s="5" t="s">
        <v>34</v>
      </c>
      <c r="K84" s="5">
        <v>3.0</v>
      </c>
      <c r="L84" s="5">
        <v>3.0</v>
      </c>
      <c r="M84" s="5" t="s">
        <v>49</v>
      </c>
      <c r="N84" s="5" t="s">
        <v>25</v>
      </c>
      <c r="O84" s="5" t="s">
        <v>29</v>
      </c>
      <c r="P84" s="5">
        <v>3.0</v>
      </c>
      <c r="Q84" s="5">
        <v>3.0</v>
      </c>
      <c r="R84" s="5">
        <v>1.0</v>
      </c>
      <c r="V84" s="7" t="str">
        <f t="shared" si="1"/>
        <v>24013</v>
      </c>
      <c r="W84" s="15" t="str">
        <f t="shared" si="2"/>
        <v>1</v>
      </c>
    </row>
    <row r="85" ht="22.5" customHeight="1">
      <c r="A85" s="4">
        <v>45911.311719861114</v>
      </c>
      <c r="B85" s="5" t="s">
        <v>139</v>
      </c>
      <c r="C85" s="5" t="s">
        <v>19</v>
      </c>
      <c r="D85" s="5" t="s">
        <v>140</v>
      </c>
      <c r="E85" s="5">
        <v>2.4013010306E10</v>
      </c>
      <c r="F85" s="5" t="s">
        <v>105</v>
      </c>
      <c r="G85" s="5" t="s">
        <v>106</v>
      </c>
      <c r="H85" s="5">
        <v>6.285745200127E12</v>
      </c>
      <c r="I85" s="5">
        <v>8.0</v>
      </c>
      <c r="J85" s="5" t="s">
        <v>23</v>
      </c>
      <c r="K85" s="5">
        <v>4.0</v>
      </c>
      <c r="L85" s="5">
        <v>4.0</v>
      </c>
      <c r="M85" s="5" t="s">
        <v>24</v>
      </c>
      <c r="N85" s="5" t="s">
        <v>25</v>
      </c>
      <c r="O85" s="5" t="s">
        <v>26</v>
      </c>
      <c r="P85" s="5">
        <v>4.0</v>
      </c>
      <c r="Q85" s="5">
        <v>4.0</v>
      </c>
      <c r="R85" s="5">
        <v>2.0</v>
      </c>
      <c r="V85" s="7" t="str">
        <f t="shared" si="1"/>
        <v>24013</v>
      </c>
      <c r="W85" s="15" t="str">
        <f t="shared" si="2"/>
        <v>1</v>
      </c>
    </row>
    <row r="86" ht="22.5" customHeight="1">
      <c r="A86" s="4">
        <v>45911.31216109954</v>
      </c>
      <c r="B86" s="5" t="s">
        <v>141</v>
      </c>
      <c r="C86" s="5" t="s">
        <v>19</v>
      </c>
      <c r="D86" s="5" t="s">
        <v>142</v>
      </c>
      <c r="E86" s="5">
        <v>2.4013010325E10</v>
      </c>
      <c r="F86" s="5" t="s">
        <v>105</v>
      </c>
      <c r="G86" s="5" t="s">
        <v>416</v>
      </c>
      <c r="H86" s="5">
        <v>6.28123225367E12</v>
      </c>
      <c r="I86" s="5">
        <v>2.0</v>
      </c>
      <c r="J86" s="5" t="s">
        <v>23</v>
      </c>
      <c r="K86" s="5">
        <v>7.0</v>
      </c>
      <c r="L86" s="5">
        <v>5.0</v>
      </c>
      <c r="M86" s="5" t="s">
        <v>49</v>
      </c>
      <c r="N86" s="5" t="s">
        <v>25</v>
      </c>
      <c r="O86" s="5" t="s">
        <v>29</v>
      </c>
      <c r="P86" s="5">
        <v>3.0</v>
      </c>
      <c r="Q86" s="5">
        <v>4.0</v>
      </c>
      <c r="R86" s="5">
        <v>2.0</v>
      </c>
      <c r="V86" s="7" t="str">
        <f t="shared" si="1"/>
        <v>24013</v>
      </c>
      <c r="W86" s="15" t="str">
        <f t="shared" si="2"/>
        <v>1</v>
      </c>
    </row>
    <row r="87" ht="22.5" customHeight="1">
      <c r="A87" s="4">
        <v>45911.36932229166</v>
      </c>
      <c r="B87" s="5" t="s">
        <v>171</v>
      </c>
      <c r="C87" s="5" t="s">
        <v>19</v>
      </c>
      <c r="D87" s="5" t="s">
        <v>172</v>
      </c>
      <c r="E87" s="5">
        <v>2.5071010075E10</v>
      </c>
      <c r="F87" s="5" t="s">
        <v>169</v>
      </c>
      <c r="G87" s="5" t="s">
        <v>170</v>
      </c>
      <c r="H87" s="5">
        <v>6.287857083899E12</v>
      </c>
      <c r="I87" s="5">
        <v>10.0</v>
      </c>
      <c r="J87" s="5" t="s">
        <v>34</v>
      </c>
      <c r="K87" s="5">
        <v>7.0</v>
      </c>
      <c r="L87" s="5">
        <v>5.0</v>
      </c>
      <c r="M87" s="5" t="s">
        <v>24</v>
      </c>
      <c r="N87" s="5" t="s">
        <v>25</v>
      </c>
      <c r="O87" s="5" t="s">
        <v>35</v>
      </c>
      <c r="P87" s="5">
        <v>4.0</v>
      </c>
      <c r="Q87" s="5">
        <v>4.0</v>
      </c>
      <c r="R87" s="5">
        <v>2.0</v>
      </c>
      <c r="V87" s="7" t="str">
        <f t="shared" si="1"/>
        <v>25071</v>
      </c>
      <c r="W87" s="15" t="str">
        <f t="shared" si="2"/>
        <v>7</v>
      </c>
    </row>
    <row r="88" ht="22.5" customHeight="1">
      <c r="A88" s="4">
        <v>45911.369612372684</v>
      </c>
      <c r="B88" s="5" t="s">
        <v>173</v>
      </c>
      <c r="C88" s="5" t="s">
        <v>19</v>
      </c>
      <c r="D88" s="5" t="s">
        <v>174</v>
      </c>
      <c r="E88" s="5">
        <v>2.5071010109E10</v>
      </c>
      <c r="F88" s="5" t="s">
        <v>169</v>
      </c>
      <c r="G88" s="5" t="s">
        <v>170</v>
      </c>
      <c r="H88" s="5">
        <v>6.283135948286E12</v>
      </c>
      <c r="I88" s="5">
        <v>4.0</v>
      </c>
      <c r="J88" s="5" t="s">
        <v>34</v>
      </c>
      <c r="K88" s="5">
        <v>5.0</v>
      </c>
      <c r="L88" s="5">
        <v>5.0</v>
      </c>
      <c r="M88" s="5" t="s">
        <v>24</v>
      </c>
      <c r="N88" s="5" t="s">
        <v>25</v>
      </c>
      <c r="O88" s="5" t="s">
        <v>26</v>
      </c>
      <c r="P88" s="5">
        <v>5.0</v>
      </c>
      <c r="Q88" s="5">
        <v>5.0</v>
      </c>
      <c r="R88" s="5">
        <v>1.0</v>
      </c>
      <c r="V88" s="7" t="str">
        <f t="shared" si="1"/>
        <v>25071</v>
      </c>
      <c r="W88" s="15" t="str">
        <f t="shared" si="2"/>
        <v>7</v>
      </c>
    </row>
    <row r="89" ht="22.5" customHeight="1">
      <c r="A89" s="4">
        <v>45911.40388056713</v>
      </c>
      <c r="B89" s="5" t="s">
        <v>186</v>
      </c>
      <c r="C89" s="5" t="s">
        <v>19</v>
      </c>
      <c r="D89" s="5" t="s">
        <v>187</v>
      </c>
      <c r="E89" s="5">
        <v>2.4043010287E10</v>
      </c>
      <c r="F89" s="5" t="s">
        <v>21</v>
      </c>
      <c r="G89" s="5" t="s">
        <v>179</v>
      </c>
      <c r="H89" s="5">
        <v>6.28123456789E12</v>
      </c>
      <c r="I89" s="5">
        <v>2.0</v>
      </c>
      <c r="J89" s="5" t="s">
        <v>96</v>
      </c>
      <c r="K89" s="5">
        <v>7.0</v>
      </c>
      <c r="L89" s="5">
        <v>5.0</v>
      </c>
      <c r="M89" s="5" t="s">
        <v>46</v>
      </c>
      <c r="N89" s="5" t="s">
        <v>25</v>
      </c>
      <c r="O89" s="5" t="s">
        <v>26</v>
      </c>
      <c r="P89" s="5">
        <v>5.0</v>
      </c>
      <c r="Q89" s="5">
        <v>5.0</v>
      </c>
      <c r="R89" s="5">
        <v>9.0</v>
      </c>
      <c r="V89" s="7" t="str">
        <f t="shared" si="1"/>
        <v>24043</v>
      </c>
      <c r="W89" s="15" t="str">
        <f t="shared" si="2"/>
        <v>4</v>
      </c>
    </row>
    <row r="90" ht="22.5" customHeight="1">
      <c r="A90" s="4">
        <v>45911.40399835648</v>
      </c>
      <c r="B90" s="5" t="s">
        <v>188</v>
      </c>
      <c r="C90" s="5" t="s">
        <v>19</v>
      </c>
      <c r="D90" s="5" t="s">
        <v>189</v>
      </c>
      <c r="E90" s="5">
        <v>2.4043010034E10</v>
      </c>
      <c r="F90" s="5" t="s">
        <v>21</v>
      </c>
      <c r="G90" s="5" t="s">
        <v>179</v>
      </c>
      <c r="H90" s="5">
        <v>6.281324648226E12</v>
      </c>
      <c r="I90" s="5">
        <v>11.0</v>
      </c>
      <c r="J90" s="5" t="s">
        <v>23</v>
      </c>
      <c r="K90" s="5">
        <v>4.0</v>
      </c>
      <c r="L90" s="5">
        <v>3.0</v>
      </c>
      <c r="M90" s="5" t="s">
        <v>49</v>
      </c>
      <c r="N90" s="5" t="s">
        <v>25</v>
      </c>
      <c r="O90" s="5" t="s">
        <v>29</v>
      </c>
      <c r="P90" s="5">
        <v>4.0</v>
      </c>
      <c r="Q90" s="5">
        <v>4.0</v>
      </c>
      <c r="R90" s="5">
        <v>2.0</v>
      </c>
      <c r="V90" s="7" t="str">
        <f t="shared" si="1"/>
        <v>24043</v>
      </c>
      <c r="W90" s="15" t="str">
        <f t="shared" si="2"/>
        <v>4</v>
      </c>
    </row>
    <row r="91" ht="22.5" customHeight="1">
      <c r="A91" s="4">
        <v>45911.404785543986</v>
      </c>
      <c r="B91" s="5" t="s">
        <v>190</v>
      </c>
      <c r="C91" s="5" t="s">
        <v>19</v>
      </c>
      <c r="D91" s="5" t="s">
        <v>191</v>
      </c>
      <c r="E91" s="5">
        <v>2.4043010033E10</v>
      </c>
      <c r="F91" s="5" t="s">
        <v>21</v>
      </c>
      <c r="G91" s="5" t="s">
        <v>409</v>
      </c>
      <c r="H91" s="5">
        <v>6.285785947042E12</v>
      </c>
      <c r="I91" s="5">
        <v>11.0</v>
      </c>
      <c r="J91" s="5" t="s">
        <v>23</v>
      </c>
      <c r="K91" s="5">
        <v>4.0</v>
      </c>
      <c r="L91" s="5">
        <v>4.0</v>
      </c>
      <c r="M91" s="5" t="s">
        <v>24</v>
      </c>
      <c r="N91" s="5" t="s">
        <v>25</v>
      </c>
      <c r="O91" s="5" t="s">
        <v>29</v>
      </c>
      <c r="P91" s="5">
        <v>4.0</v>
      </c>
      <c r="Q91" s="5">
        <v>5.0</v>
      </c>
      <c r="R91" s="5">
        <v>2.0</v>
      </c>
      <c r="V91" s="7" t="str">
        <f t="shared" si="1"/>
        <v>24043</v>
      </c>
      <c r="W91" s="15" t="str">
        <f t="shared" si="2"/>
        <v>4</v>
      </c>
    </row>
    <row r="92" ht="22.5" customHeight="1">
      <c r="A92" s="4">
        <v>45911.40527418982</v>
      </c>
      <c r="B92" s="5" t="s">
        <v>192</v>
      </c>
      <c r="C92" s="5" t="s">
        <v>19</v>
      </c>
      <c r="D92" s="5" t="s">
        <v>193</v>
      </c>
      <c r="E92" s="5">
        <v>2.4043010154E10</v>
      </c>
      <c r="F92" s="5" t="s">
        <v>21</v>
      </c>
      <c r="G92" s="5" t="s">
        <v>179</v>
      </c>
      <c r="H92" s="5">
        <v>6.282143733757E12</v>
      </c>
      <c r="I92" s="5">
        <v>11.0</v>
      </c>
      <c r="J92" s="5" t="s">
        <v>34</v>
      </c>
      <c r="K92" s="5">
        <v>7.0</v>
      </c>
      <c r="L92" s="5">
        <v>2.0</v>
      </c>
      <c r="M92" s="5" t="s">
        <v>24</v>
      </c>
      <c r="N92" s="5" t="s">
        <v>25</v>
      </c>
      <c r="O92" s="5" t="s">
        <v>26</v>
      </c>
      <c r="P92" s="5">
        <v>4.0</v>
      </c>
      <c r="Q92" s="5">
        <v>4.0</v>
      </c>
      <c r="R92" s="5">
        <v>1.0</v>
      </c>
      <c r="V92" s="7" t="str">
        <f t="shared" si="1"/>
        <v>24043</v>
      </c>
      <c r="W92" s="15" t="str">
        <f t="shared" si="2"/>
        <v>4</v>
      </c>
    </row>
    <row r="93" ht="22.5" customHeight="1">
      <c r="A93" s="4">
        <v>45911.406200185185</v>
      </c>
      <c r="B93" s="5" t="s">
        <v>194</v>
      </c>
      <c r="C93" s="5" t="s">
        <v>19</v>
      </c>
      <c r="D93" s="5" t="s">
        <v>195</v>
      </c>
      <c r="E93" s="5">
        <v>2.4043010002E10</v>
      </c>
      <c r="F93" s="5" t="s">
        <v>21</v>
      </c>
      <c r="G93" s="5" t="s">
        <v>179</v>
      </c>
      <c r="H93" s="5">
        <v>6.28179210106E11</v>
      </c>
      <c r="I93" s="5">
        <v>4.0</v>
      </c>
      <c r="J93" s="5" t="s">
        <v>196</v>
      </c>
      <c r="K93" s="5">
        <v>6.0</v>
      </c>
      <c r="L93" s="5">
        <v>4.0</v>
      </c>
      <c r="M93" s="5" t="s">
        <v>64</v>
      </c>
      <c r="N93" s="5" t="s">
        <v>25</v>
      </c>
      <c r="O93" s="5" t="s">
        <v>29</v>
      </c>
      <c r="P93" s="5">
        <v>3.0</v>
      </c>
      <c r="Q93" s="5">
        <v>3.0</v>
      </c>
      <c r="R93" s="5">
        <v>1.0</v>
      </c>
      <c r="V93" s="7" t="str">
        <f t="shared" si="1"/>
        <v>24043</v>
      </c>
      <c r="W93" s="15" t="str">
        <f t="shared" si="2"/>
        <v>4</v>
      </c>
    </row>
    <row r="94" ht="22.5" customHeight="1">
      <c r="A94" s="4">
        <v>45911.43136820602</v>
      </c>
      <c r="B94" s="5" t="s">
        <v>252</v>
      </c>
      <c r="C94" s="5" t="s">
        <v>19</v>
      </c>
      <c r="D94" s="5" t="s">
        <v>253</v>
      </c>
      <c r="E94" s="5">
        <v>2.5081010298E10</v>
      </c>
      <c r="F94" s="5" t="s">
        <v>150</v>
      </c>
      <c r="G94" s="5" t="s">
        <v>241</v>
      </c>
      <c r="H94" s="5">
        <v>6.285707091884E12</v>
      </c>
      <c r="I94" s="5">
        <v>5.0</v>
      </c>
      <c r="J94" s="5" t="s">
        <v>96</v>
      </c>
      <c r="K94" s="5">
        <v>3.0</v>
      </c>
      <c r="L94" s="5">
        <v>2.0</v>
      </c>
      <c r="M94" s="5" t="s">
        <v>46</v>
      </c>
      <c r="N94" s="5" t="s">
        <v>25</v>
      </c>
      <c r="O94" s="5" t="s">
        <v>26</v>
      </c>
      <c r="P94" s="5">
        <v>5.0</v>
      </c>
      <c r="Q94" s="5">
        <v>5.0</v>
      </c>
      <c r="R94" s="5">
        <v>1.0</v>
      </c>
      <c r="V94" s="7" t="str">
        <f t="shared" si="1"/>
        <v>25081</v>
      </c>
      <c r="W94" s="15" t="str">
        <f t="shared" si="2"/>
        <v>8</v>
      </c>
    </row>
    <row r="95" ht="22.5" customHeight="1">
      <c r="A95" s="4">
        <v>45911.461879236114</v>
      </c>
      <c r="B95" s="5" t="s">
        <v>375</v>
      </c>
      <c r="C95" s="5" t="s">
        <v>19</v>
      </c>
      <c r="D95" s="5" t="s">
        <v>376</v>
      </c>
      <c r="E95" s="5">
        <v>2.4035010018E10</v>
      </c>
      <c r="F95" s="5" t="s">
        <v>160</v>
      </c>
      <c r="G95" s="5" t="s">
        <v>377</v>
      </c>
      <c r="H95" s="5">
        <v>6.285852303961E12</v>
      </c>
      <c r="I95" s="5">
        <v>1.0</v>
      </c>
      <c r="J95" s="5" t="s">
        <v>34</v>
      </c>
      <c r="K95" s="5">
        <v>7.0</v>
      </c>
      <c r="L95" s="5">
        <v>7.0</v>
      </c>
      <c r="M95" s="5" t="s">
        <v>46</v>
      </c>
      <c r="N95" s="5" t="s">
        <v>25</v>
      </c>
      <c r="O95" s="5" t="s">
        <v>26</v>
      </c>
      <c r="P95" s="5">
        <v>5.0</v>
      </c>
      <c r="Q95" s="5">
        <v>5.0</v>
      </c>
      <c r="R95" s="5">
        <v>4.0</v>
      </c>
      <c r="V95" s="7" t="str">
        <f t="shared" si="1"/>
        <v>24035</v>
      </c>
      <c r="W95" s="15" t="str">
        <f t="shared" si="2"/>
        <v>3</v>
      </c>
    </row>
    <row r="96" ht="22.5" customHeight="1">
      <c r="A96" s="4">
        <v>45911.462079375</v>
      </c>
      <c r="B96" s="5" t="s">
        <v>378</v>
      </c>
      <c r="C96" s="5" t="s">
        <v>19</v>
      </c>
      <c r="D96" s="5" t="s">
        <v>379</v>
      </c>
      <c r="E96" s="5">
        <v>2.4035010168E10</v>
      </c>
      <c r="F96" s="5" t="s">
        <v>160</v>
      </c>
      <c r="G96" s="5" t="s">
        <v>377</v>
      </c>
      <c r="H96" s="5">
        <v>6.281559747734E12</v>
      </c>
      <c r="I96" s="5">
        <v>2.0</v>
      </c>
      <c r="J96" s="5" t="s">
        <v>23</v>
      </c>
      <c r="K96" s="5">
        <v>6.0</v>
      </c>
      <c r="L96" s="5">
        <v>4.0</v>
      </c>
      <c r="M96" s="5" t="s">
        <v>64</v>
      </c>
      <c r="N96" s="5" t="s">
        <v>25</v>
      </c>
      <c r="O96" s="5" t="s">
        <v>26</v>
      </c>
      <c r="P96" s="5">
        <v>4.0</v>
      </c>
      <c r="Q96" s="5">
        <v>4.0</v>
      </c>
      <c r="R96" s="5">
        <v>6.0</v>
      </c>
      <c r="V96" s="7" t="str">
        <f t="shared" si="1"/>
        <v>24035</v>
      </c>
      <c r="W96" s="15" t="str">
        <f t="shared" si="2"/>
        <v>3</v>
      </c>
    </row>
    <row r="97" ht="22.5" customHeight="1">
      <c r="A97" s="4">
        <v>45911.46242121528</v>
      </c>
      <c r="B97" s="5" t="s">
        <v>380</v>
      </c>
      <c r="C97" s="5" t="s">
        <v>19</v>
      </c>
      <c r="D97" s="5" t="s">
        <v>381</v>
      </c>
      <c r="E97" s="5">
        <v>2.403501019E10</v>
      </c>
      <c r="F97" s="5" t="s">
        <v>160</v>
      </c>
      <c r="G97" s="5" t="s">
        <v>377</v>
      </c>
      <c r="H97" s="5">
        <v>6.285708564036E12</v>
      </c>
      <c r="I97" s="5">
        <v>2.0</v>
      </c>
      <c r="J97" s="5" t="s">
        <v>23</v>
      </c>
      <c r="K97" s="5">
        <v>6.0</v>
      </c>
      <c r="L97" s="5">
        <v>6.0</v>
      </c>
      <c r="M97" s="5" t="s">
        <v>24</v>
      </c>
      <c r="N97" s="5" t="s">
        <v>25</v>
      </c>
      <c r="O97" s="5" t="s">
        <v>26</v>
      </c>
      <c r="P97" s="5">
        <v>4.0</v>
      </c>
      <c r="Q97" s="5">
        <v>5.0</v>
      </c>
      <c r="R97" s="5">
        <v>5.0</v>
      </c>
      <c r="V97" s="7" t="str">
        <f t="shared" si="1"/>
        <v>24035</v>
      </c>
      <c r="W97" s="15" t="str">
        <f t="shared" si="2"/>
        <v>3</v>
      </c>
    </row>
    <row r="98" ht="22.5" customHeight="1">
      <c r="A98" s="4">
        <v>45911.46481041667</v>
      </c>
      <c r="B98" s="5" t="s">
        <v>197</v>
      </c>
      <c r="C98" s="5" t="s">
        <v>19</v>
      </c>
      <c r="D98" s="5" t="s">
        <v>198</v>
      </c>
      <c r="E98" s="5">
        <v>2.4043010205E10</v>
      </c>
      <c r="F98" s="5" t="s">
        <v>21</v>
      </c>
      <c r="G98" s="5" t="s">
        <v>417</v>
      </c>
      <c r="H98" s="5">
        <v>6.28224471453E12</v>
      </c>
      <c r="I98" s="5">
        <v>8.0</v>
      </c>
      <c r="J98" s="5" t="s">
        <v>23</v>
      </c>
      <c r="K98" s="5">
        <v>3.0</v>
      </c>
      <c r="L98" s="5">
        <v>2.0</v>
      </c>
      <c r="M98" s="5" t="s">
        <v>24</v>
      </c>
      <c r="N98" s="5" t="s">
        <v>25</v>
      </c>
      <c r="O98" s="5" t="s">
        <v>29</v>
      </c>
      <c r="P98" s="5">
        <v>3.0</v>
      </c>
      <c r="Q98" s="5">
        <v>4.0</v>
      </c>
      <c r="R98" s="5">
        <v>2.0</v>
      </c>
      <c r="V98" s="7" t="str">
        <f t="shared" si="1"/>
        <v>24043</v>
      </c>
      <c r="W98" s="15" t="str">
        <f t="shared" si="2"/>
        <v>4</v>
      </c>
    </row>
    <row r="99" ht="22.5" customHeight="1">
      <c r="A99" s="4">
        <v>45911.46552766203</v>
      </c>
      <c r="B99" s="5" t="s">
        <v>199</v>
      </c>
      <c r="C99" s="5" t="s">
        <v>19</v>
      </c>
      <c r="D99" s="5" t="s">
        <v>200</v>
      </c>
      <c r="E99" s="5">
        <v>2.404301022E10</v>
      </c>
      <c r="F99" s="5" t="s">
        <v>21</v>
      </c>
      <c r="G99" s="5" t="s">
        <v>179</v>
      </c>
      <c r="H99" s="5">
        <v>6.28884098908E11</v>
      </c>
      <c r="I99" s="5">
        <v>15.0</v>
      </c>
      <c r="J99" s="5" t="s">
        <v>96</v>
      </c>
      <c r="K99" s="5">
        <v>6.0</v>
      </c>
      <c r="L99" s="5">
        <v>5.0</v>
      </c>
      <c r="M99" s="5" t="s">
        <v>49</v>
      </c>
      <c r="N99" s="5" t="s">
        <v>19</v>
      </c>
      <c r="O99" s="5" t="s">
        <v>26</v>
      </c>
      <c r="P99" s="5">
        <v>4.0</v>
      </c>
      <c r="Q99" s="5">
        <v>5.0</v>
      </c>
      <c r="R99" s="5">
        <v>1.0</v>
      </c>
      <c r="V99" s="7" t="str">
        <f t="shared" si="1"/>
        <v>24043</v>
      </c>
      <c r="W99" s="15" t="str">
        <f t="shared" si="2"/>
        <v>4</v>
      </c>
    </row>
    <row r="100" ht="22.5" customHeight="1">
      <c r="A100" s="4">
        <v>45911.46556039352</v>
      </c>
      <c r="B100" s="5" t="s">
        <v>201</v>
      </c>
      <c r="C100" s="5" t="s">
        <v>19</v>
      </c>
      <c r="D100" s="5" t="s">
        <v>202</v>
      </c>
      <c r="E100" s="5">
        <v>2.4043010228E10</v>
      </c>
      <c r="F100" s="5" t="s">
        <v>21</v>
      </c>
      <c r="G100" s="5" t="s">
        <v>179</v>
      </c>
      <c r="H100" s="5">
        <v>6.282337297176E12</v>
      </c>
      <c r="I100" s="5">
        <v>20.0</v>
      </c>
      <c r="J100" s="5" t="s">
        <v>96</v>
      </c>
      <c r="K100" s="5">
        <v>6.0</v>
      </c>
      <c r="L100" s="5">
        <v>6.0</v>
      </c>
      <c r="M100" s="5" t="s">
        <v>49</v>
      </c>
      <c r="N100" s="5" t="s">
        <v>25</v>
      </c>
      <c r="O100" s="5" t="s">
        <v>26</v>
      </c>
      <c r="P100" s="5">
        <v>1.0</v>
      </c>
      <c r="Q100" s="5">
        <v>5.0</v>
      </c>
      <c r="R100" s="5">
        <v>3.0</v>
      </c>
      <c r="V100" s="7" t="str">
        <f t="shared" si="1"/>
        <v>24043</v>
      </c>
      <c r="W100" s="15" t="str">
        <f t="shared" si="2"/>
        <v>4</v>
      </c>
    </row>
    <row r="101" ht="22.5" customHeight="1">
      <c r="A101" s="4">
        <v>45911.46556361111</v>
      </c>
      <c r="B101" s="5" t="s">
        <v>203</v>
      </c>
      <c r="C101" s="5" t="s">
        <v>19</v>
      </c>
      <c r="D101" s="5" t="s">
        <v>204</v>
      </c>
      <c r="E101" s="5">
        <v>2.4043010343E10</v>
      </c>
      <c r="F101" s="5" t="s">
        <v>21</v>
      </c>
      <c r="G101" s="5" t="s">
        <v>409</v>
      </c>
      <c r="H101" s="5">
        <v>6.281357795933E12</v>
      </c>
      <c r="I101" s="5">
        <v>5.0</v>
      </c>
      <c r="J101" s="5" t="s">
        <v>34</v>
      </c>
      <c r="K101" s="5">
        <v>4.0</v>
      </c>
      <c r="L101" s="5">
        <v>4.0</v>
      </c>
      <c r="M101" s="5" t="s">
        <v>24</v>
      </c>
      <c r="N101" s="5" t="s">
        <v>25</v>
      </c>
      <c r="O101" s="5" t="s">
        <v>26</v>
      </c>
      <c r="P101" s="5">
        <v>3.0</v>
      </c>
      <c r="Q101" s="5">
        <v>3.0</v>
      </c>
      <c r="R101" s="5">
        <v>1.0</v>
      </c>
      <c r="V101" s="7" t="str">
        <f t="shared" si="1"/>
        <v>24043</v>
      </c>
      <c r="W101" s="15" t="str">
        <f t="shared" si="2"/>
        <v>4</v>
      </c>
    </row>
    <row r="102" ht="22.5" customHeight="1">
      <c r="A102" s="4">
        <v>45911.465711516204</v>
      </c>
      <c r="B102" s="5" t="s">
        <v>205</v>
      </c>
      <c r="C102" s="5" t="s">
        <v>19</v>
      </c>
      <c r="D102" s="5" t="s">
        <v>206</v>
      </c>
      <c r="E102" s="5">
        <v>2.4034010083E10</v>
      </c>
      <c r="F102" s="5" t="s">
        <v>21</v>
      </c>
      <c r="G102" s="5" t="s">
        <v>409</v>
      </c>
      <c r="H102" s="5">
        <v>6.28214218101E12</v>
      </c>
      <c r="I102" s="5">
        <v>5.0</v>
      </c>
      <c r="J102" s="5" t="s">
        <v>34</v>
      </c>
      <c r="K102" s="5">
        <v>4.0</v>
      </c>
      <c r="L102" s="5">
        <v>4.0</v>
      </c>
      <c r="M102" s="5" t="s">
        <v>49</v>
      </c>
      <c r="N102" s="5" t="s">
        <v>25</v>
      </c>
      <c r="O102" s="5" t="s">
        <v>26</v>
      </c>
      <c r="P102" s="5">
        <v>4.0</v>
      </c>
      <c r="Q102" s="5">
        <v>5.0</v>
      </c>
      <c r="R102" s="5">
        <v>2.0</v>
      </c>
      <c r="V102" s="7" t="str">
        <f t="shared" si="1"/>
        <v>24034</v>
      </c>
      <c r="W102" s="15" t="str">
        <f t="shared" si="2"/>
        <v>3</v>
      </c>
    </row>
    <row r="103" ht="22.5" customHeight="1">
      <c r="A103" s="4">
        <v>45911.465746145834</v>
      </c>
      <c r="B103" s="5" t="s">
        <v>207</v>
      </c>
      <c r="C103" s="5" t="s">
        <v>19</v>
      </c>
      <c r="D103" s="5" t="s">
        <v>208</v>
      </c>
      <c r="E103" s="5">
        <v>2.4043010203E10</v>
      </c>
      <c r="F103" s="5" t="s">
        <v>21</v>
      </c>
      <c r="G103" s="5" t="s">
        <v>179</v>
      </c>
      <c r="H103" s="5">
        <v>6.281387050669E12</v>
      </c>
      <c r="I103" s="5">
        <v>5.0</v>
      </c>
      <c r="J103" s="5" t="s">
        <v>96</v>
      </c>
      <c r="K103" s="5">
        <v>5.0</v>
      </c>
      <c r="L103" s="5">
        <v>3.0</v>
      </c>
      <c r="M103" s="5" t="s">
        <v>49</v>
      </c>
      <c r="N103" s="5" t="s">
        <v>25</v>
      </c>
      <c r="O103" s="5" t="s">
        <v>26</v>
      </c>
      <c r="P103" s="5">
        <v>4.0</v>
      </c>
      <c r="Q103" s="5">
        <v>4.0</v>
      </c>
      <c r="R103" s="5">
        <v>5.0</v>
      </c>
      <c r="V103" s="7" t="str">
        <f t="shared" si="1"/>
        <v>24043</v>
      </c>
      <c r="W103" s="15" t="str">
        <f t="shared" si="2"/>
        <v>4</v>
      </c>
    </row>
    <row r="104" ht="22.5" customHeight="1">
      <c r="A104" s="4">
        <v>45911.46575783565</v>
      </c>
      <c r="B104" s="5" t="s">
        <v>209</v>
      </c>
      <c r="C104" s="5" t="s">
        <v>19</v>
      </c>
      <c r="D104" s="5" t="s">
        <v>210</v>
      </c>
      <c r="E104" s="5">
        <v>2.4043010063E10</v>
      </c>
      <c r="F104" s="5" t="s">
        <v>21</v>
      </c>
      <c r="G104" s="5" t="s">
        <v>409</v>
      </c>
      <c r="H104" s="5">
        <v>6.282233400435E12</v>
      </c>
      <c r="I104" s="5">
        <v>15.0</v>
      </c>
      <c r="J104" s="5" t="s">
        <v>96</v>
      </c>
      <c r="K104" s="5">
        <v>5.0</v>
      </c>
      <c r="L104" s="5">
        <v>6.0</v>
      </c>
      <c r="M104" s="5" t="s">
        <v>49</v>
      </c>
      <c r="N104" s="5" t="s">
        <v>25</v>
      </c>
      <c r="O104" s="5" t="s">
        <v>26</v>
      </c>
      <c r="P104" s="5">
        <v>5.0</v>
      </c>
      <c r="Q104" s="5">
        <v>5.0</v>
      </c>
      <c r="R104" s="5">
        <v>4.0</v>
      </c>
      <c r="V104" s="7" t="str">
        <f t="shared" si="1"/>
        <v>24043</v>
      </c>
      <c r="W104" s="15" t="str">
        <f t="shared" si="2"/>
        <v>4</v>
      </c>
    </row>
    <row r="105" ht="22.5" customHeight="1">
      <c r="A105" s="4">
        <v>45911.47318644676</v>
      </c>
      <c r="B105" s="5" t="s">
        <v>27</v>
      </c>
      <c r="C105" s="5" t="s">
        <v>19</v>
      </c>
      <c r="D105" s="5" t="s">
        <v>28</v>
      </c>
      <c r="E105" s="5">
        <v>2.5042010031E10</v>
      </c>
      <c r="F105" s="5" t="s">
        <v>21</v>
      </c>
      <c r="G105" s="5" t="s">
        <v>418</v>
      </c>
      <c r="H105" s="5">
        <v>6.285232776438E12</v>
      </c>
      <c r="I105" s="5">
        <v>3.0</v>
      </c>
      <c r="J105" s="5" t="s">
        <v>23</v>
      </c>
      <c r="K105" s="5">
        <v>7.0</v>
      </c>
      <c r="L105" s="5">
        <v>7.0</v>
      </c>
      <c r="M105" s="5" t="s">
        <v>24</v>
      </c>
      <c r="N105" s="5" t="s">
        <v>25</v>
      </c>
      <c r="O105" s="5" t="s">
        <v>29</v>
      </c>
      <c r="P105" s="5">
        <v>2.0</v>
      </c>
      <c r="Q105" s="5">
        <v>3.0</v>
      </c>
      <c r="R105" s="5">
        <v>1.0</v>
      </c>
      <c r="V105" s="7" t="str">
        <f t="shared" si="1"/>
        <v>25042</v>
      </c>
      <c r="W105" s="15" t="str">
        <f t="shared" si="2"/>
        <v>4</v>
      </c>
    </row>
    <row r="106" ht="22.5" customHeight="1">
      <c r="A106" s="4">
        <v>45911.4732338426</v>
      </c>
      <c r="B106" s="5" t="s">
        <v>99</v>
      </c>
      <c r="C106" s="5" t="s">
        <v>19</v>
      </c>
      <c r="D106" s="5" t="s">
        <v>100</v>
      </c>
      <c r="E106" s="5">
        <v>2.5025010134E10</v>
      </c>
      <c r="F106" s="5" t="s">
        <v>101</v>
      </c>
      <c r="G106" s="5" t="s">
        <v>419</v>
      </c>
      <c r="H106" s="5">
        <v>6.285777050152E12</v>
      </c>
      <c r="I106" s="5">
        <v>1.0</v>
      </c>
      <c r="J106" s="5" t="s">
        <v>23</v>
      </c>
      <c r="K106" s="5">
        <v>2.0</v>
      </c>
      <c r="L106" s="5">
        <v>1.0</v>
      </c>
      <c r="M106" s="5" t="s">
        <v>64</v>
      </c>
      <c r="N106" s="5" t="s">
        <v>25</v>
      </c>
      <c r="O106" s="5" t="s">
        <v>35</v>
      </c>
      <c r="P106" s="5">
        <v>4.0</v>
      </c>
      <c r="Q106" s="5">
        <v>4.0</v>
      </c>
      <c r="R106" s="5">
        <v>1.0</v>
      </c>
      <c r="V106" s="7" t="str">
        <f t="shared" si="1"/>
        <v>25025</v>
      </c>
      <c r="W106" s="15" t="str">
        <f t="shared" si="2"/>
        <v>2</v>
      </c>
    </row>
    <row r="107" ht="22.5" customHeight="1">
      <c r="A107" s="4">
        <v>45911.47429511574</v>
      </c>
      <c r="B107" s="5" t="s">
        <v>143</v>
      </c>
      <c r="C107" s="5" t="s">
        <v>19</v>
      </c>
      <c r="D107" s="5" t="s">
        <v>144</v>
      </c>
      <c r="E107" s="5">
        <v>2.4047010013E10</v>
      </c>
      <c r="F107" s="5" t="s">
        <v>21</v>
      </c>
      <c r="G107" s="5" t="s">
        <v>420</v>
      </c>
      <c r="H107" s="5">
        <v>6.28555940622E12</v>
      </c>
      <c r="I107" s="5">
        <v>4.0</v>
      </c>
      <c r="J107" s="5" t="s">
        <v>23</v>
      </c>
      <c r="K107" s="5">
        <v>5.0</v>
      </c>
      <c r="L107" s="5">
        <v>3.0</v>
      </c>
      <c r="M107" s="5" t="s">
        <v>24</v>
      </c>
      <c r="N107" s="5" t="s">
        <v>25</v>
      </c>
      <c r="O107" s="5" t="s">
        <v>26</v>
      </c>
      <c r="P107" s="5">
        <v>4.0</v>
      </c>
      <c r="Q107" s="5">
        <v>4.0</v>
      </c>
      <c r="R107" s="5">
        <v>4.0</v>
      </c>
      <c r="V107" s="7" t="str">
        <f t="shared" si="1"/>
        <v>24047</v>
      </c>
      <c r="W107" s="15" t="str">
        <f t="shared" si="2"/>
        <v>4</v>
      </c>
    </row>
    <row r="108" ht="22.5" customHeight="1">
      <c r="A108" s="4">
        <v>45911.474498807875</v>
      </c>
      <c r="B108" s="5" t="s">
        <v>382</v>
      </c>
      <c r="C108" s="5" t="s">
        <v>19</v>
      </c>
      <c r="D108" s="5" t="s">
        <v>383</v>
      </c>
      <c r="E108" s="5">
        <v>2.4035010046E10</v>
      </c>
      <c r="F108" s="5" t="s">
        <v>160</v>
      </c>
      <c r="G108" s="5" t="s">
        <v>377</v>
      </c>
      <c r="H108" s="5">
        <v>6.281296638E11</v>
      </c>
      <c r="I108" s="5">
        <v>4.0</v>
      </c>
      <c r="J108" s="5" t="s">
        <v>96</v>
      </c>
      <c r="K108" s="5">
        <v>5.0</v>
      </c>
      <c r="L108" s="5">
        <v>3.0</v>
      </c>
      <c r="M108" s="5" t="s">
        <v>24</v>
      </c>
      <c r="N108" s="5" t="s">
        <v>25</v>
      </c>
      <c r="O108" s="5" t="s">
        <v>35</v>
      </c>
      <c r="P108" s="5">
        <v>4.0</v>
      </c>
      <c r="Q108" s="5">
        <v>3.0</v>
      </c>
      <c r="R108" s="5">
        <v>3.0</v>
      </c>
      <c r="V108" s="7" t="str">
        <f t="shared" si="1"/>
        <v>24035</v>
      </c>
      <c r="W108" s="15" t="str">
        <f t="shared" si="2"/>
        <v>3</v>
      </c>
    </row>
    <row r="109" ht="22.5" customHeight="1">
      <c r="A109" s="4">
        <v>45911.47483229167</v>
      </c>
      <c r="B109" s="5" t="s">
        <v>30</v>
      </c>
      <c r="C109" s="5" t="s">
        <v>19</v>
      </c>
      <c r="D109" s="5" t="s">
        <v>31</v>
      </c>
      <c r="E109" s="5">
        <v>2.5042010187E10</v>
      </c>
      <c r="F109" s="5" t="s">
        <v>21</v>
      </c>
      <c r="G109" s="5" t="s">
        <v>22</v>
      </c>
      <c r="H109" s="5">
        <v>6.281280579596E12</v>
      </c>
      <c r="I109" s="5">
        <v>3.0</v>
      </c>
      <c r="J109" s="5" t="s">
        <v>23</v>
      </c>
      <c r="K109" s="5">
        <v>5.0</v>
      </c>
      <c r="L109" s="5">
        <v>2.0</v>
      </c>
      <c r="M109" s="5" t="s">
        <v>24</v>
      </c>
      <c r="N109" s="5" t="s">
        <v>25</v>
      </c>
      <c r="O109" s="5" t="s">
        <v>29</v>
      </c>
      <c r="P109" s="5">
        <v>3.0</v>
      </c>
      <c r="Q109" s="5">
        <v>4.0</v>
      </c>
      <c r="R109" s="5">
        <v>1.0</v>
      </c>
      <c r="V109" s="7" t="str">
        <f t="shared" si="1"/>
        <v>25042</v>
      </c>
      <c r="W109" s="15" t="str">
        <f t="shared" si="2"/>
        <v>4</v>
      </c>
    </row>
    <row r="110" ht="22.5" customHeight="1">
      <c r="A110" s="4">
        <v>45911.47536398148</v>
      </c>
      <c r="B110" s="5" t="s">
        <v>32</v>
      </c>
      <c r="C110" s="5" t="s">
        <v>19</v>
      </c>
      <c r="D110" s="5" t="s">
        <v>33</v>
      </c>
      <c r="E110" s="5">
        <v>2.5042010018E10</v>
      </c>
      <c r="F110" s="5" t="s">
        <v>21</v>
      </c>
      <c r="G110" s="5" t="s">
        <v>22</v>
      </c>
      <c r="H110" s="5">
        <v>6.285816373438E12</v>
      </c>
      <c r="I110" s="5">
        <v>4.0</v>
      </c>
      <c r="J110" s="5" t="s">
        <v>34</v>
      </c>
      <c r="K110" s="5">
        <v>4.0</v>
      </c>
      <c r="L110" s="5">
        <v>4.0</v>
      </c>
      <c r="M110" s="5" t="s">
        <v>24</v>
      </c>
      <c r="N110" s="5" t="s">
        <v>25</v>
      </c>
      <c r="O110" s="5" t="s">
        <v>35</v>
      </c>
      <c r="P110" s="5">
        <v>3.0</v>
      </c>
      <c r="Q110" s="5">
        <v>3.0</v>
      </c>
      <c r="R110" s="5">
        <v>4.0</v>
      </c>
      <c r="V110" s="7" t="str">
        <f t="shared" si="1"/>
        <v>25042</v>
      </c>
      <c r="W110" s="15" t="str">
        <f t="shared" si="2"/>
        <v>4</v>
      </c>
    </row>
    <row r="111" ht="22.5" customHeight="1">
      <c r="A111" s="4">
        <v>45911.478006840276</v>
      </c>
      <c r="B111" s="5" t="s">
        <v>162</v>
      </c>
      <c r="C111" s="5" t="s">
        <v>19</v>
      </c>
      <c r="D111" s="5" t="s">
        <v>163</v>
      </c>
      <c r="E111" s="5">
        <v>2.404401016E10</v>
      </c>
      <c r="F111" s="5" t="s">
        <v>21</v>
      </c>
      <c r="G111" s="5" t="s">
        <v>421</v>
      </c>
      <c r="H111" s="5">
        <v>6.289686780655E12</v>
      </c>
      <c r="I111" s="5">
        <v>3.0</v>
      </c>
      <c r="J111" s="5" t="s">
        <v>23</v>
      </c>
      <c r="K111" s="5">
        <v>4.0</v>
      </c>
      <c r="L111" s="5">
        <v>2.0</v>
      </c>
      <c r="M111" s="5" t="s">
        <v>49</v>
      </c>
      <c r="N111" s="5" t="s">
        <v>25</v>
      </c>
      <c r="O111" s="5" t="s">
        <v>29</v>
      </c>
      <c r="P111" s="5">
        <v>3.0</v>
      </c>
      <c r="Q111" s="5">
        <v>3.0</v>
      </c>
      <c r="R111" s="5">
        <v>2.0</v>
      </c>
      <c r="V111" s="7" t="str">
        <f t="shared" si="1"/>
        <v>24044</v>
      </c>
      <c r="W111" s="15" t="str">
        <f t="shared" si="2"/>
        <v>4</v>
      </c>
    </row>
    <row r="112" ht="22.5" customHeight="1">
      <c r="A112" s="4">
        <v>45911.47828766204</v>
      </c>
      <c r="B112" s="5" t="s">
        <v>146</v>
      </c>
      <c r="C112" s="5" t="s">
        <v>19</v>
      </c>
      <c r="D112" s="5" t="s">
        <v>147</v>
      </c>
      <c r="E112" s="5">
        <v>2.4047010009E10</v>
      </c>
      <c r="F112" s="5" t="s">
        <v>21</v>
      </c>
      <c r="G112" s="5" t="s">
        <v>420</v>
      </c>
      <c r="H112" s="5">
        <v>6.285746720474E12</v>
      </c>
      <c r="I112" s="5">
        <v>3.0</v>
      </c>
      <c r="J112" s="5" t="s">
        <v>23</v>
      </c>
      <c r="K112" s="5">
        <v>4.0</v>
      </c>
      <c r="L112" s="5">
        <v>2.0</v>
      </c>
      <c r="M112" s="5" t="s">
        <v>24</v>
      </c>
      <c r="N112" s="5" t="s">
        <v>25</v>
      </c>
      <c r="O112" s="5" t="s">
        <v>29</v>
      </c>
      <c r="P112" s="5">
        <v>3.0</v>
      </c>
      <c r="Q112" s="5">
        <v>4.0</v>
      </c>
      <c r="R112" s="5">
        <v>3.0</v>
      </c>
      <c r="V112" s="7" t="str">
        <f t="shared" si="1"/>
        <v>24047</v>
      </c>
      <c r="W112" s="15" t="str">
        <f t="shared" si="2"/>
        <v>4</v>
      </c>
    </row>
    <row r="113" ht="22.5" customHeight="1">
      <c r="A113" s="4">
        <v>45911.59603390047</v>
      </c>
      <c r="B113" s="5" t="s">
        <v>346</v>
      </c>
      <c r="C113" s="5" t="s">
        <v>19</v>
      </c>
      <c r="D113" s="5" t="s">
        <v>347</v>
      </c>
      <c r="E113" s="5">
        <v>2.4083010094E10</v>
      </c>
      <c r="F113" s="5" t="s">
        <v>150</v>
      </c>
      <c r="G113" s="5" t="s">
        <v>267</v>
      </c>
      <c r="H113" s="5">
        <v>6.28133221322E12</v>
      </c>
      <c r="I113" s="5">
        <v>3.0</v>
      </c>
      <c r="J113" s="5" t="s">
        <v>23</v>
      </c>
      <c r="K113" s="5">
        <v>4.0</v>
      </c>
      <c r="L113" s="5">
        <v>4.0</v>
      </c>
      <c r="M113" s="5" t="s">
        <v>49</v>
      </c>
      <c r="N113" s="5" t="s">
        <v>25</v>
      </c>
      <c r="O113" s="5" t="s">
        <v>26</v>
      </c>
      <c r="P113" s="5">
        <v>5.0</v>
      </c>
      <c r="Q113" s="5">
        <v>5.0</v>
      </c>
      <c r="R113" s="5">
        <v>1.0</v>
      </c>
      <c r="V113" s="7" t="str">
        <f t="shared" si="1"/>
        <v>24083</v>
      </c>
      <c r="W113" s="15" t="str">
        <f t="shared" si="2"/>
        <v>8</v>
      </c>
    </row>
    <row r="114" ht="22.5" customHeight="1">
      <c r="A114" s="4">
        <v>45911.60304443287</v>
      </c>
      <c r="B114" s="5" t="s">
        <v>154</v>
      </c>
      <c r="C114" s="5" t="s">
        <v>19</v>
      </c>
      <c r="D114" s="5" t="s">
        <v>155</v>
      </c>
      <c r="E114" s="5">
        <v>2.4052010067E10</v>
      </c>
      <c r="F114" s="5" t="s">
        <v>156</v>
      </c>
      <c r="G114" s="5" t="s">
        <v>422</v>
      </c>
      <c r="H114" s="5">
        <v>6.281230289946E12</v>
      </c>
      <c r="I114" s="5">
        <v>6.0</v>
      </c>
      <c r="J114" s="5" t="s">
        <v>23</v>
      </c>
      <c r="K114" s="5">
        <v>5.0</v>
      </c>
      <c r="L114" s="5">
        <v>5.0</v>
      </c>
      <c r="M114" s="5" t="s">
        <v>24</v>
      </c>
      <c r="N114" s="5" t="s">
        <v>25</v>
      </c>
      <c r="O114" s="5" t="s">
        <v>35</v>
      </c>
      <c r="P114" s="5">
        <v>4.0</v>
      </c>
      <c r="Q114" s="5">
        <v>4.0</v>
      </c>
      <c r="R114" s="5">
        <v>2.0</v>
      </c>
      <c r="V114" s="7" t="str">
        <f t="shared" si="1"/>
        <v>24052</v>
      </c>
      <c r="W114" s="15" t="str">
        <f t="shared" si="2"/>
        <v>5</v>
      </c>
    </row>
    <row r="115" ht="22.5" customHeight="1">
      <c r="A115" s="4">
        <v>45911.62423798611</v>
      </c>
      <c r="B115" s="5" t="s">
        <v>211</v>
      </c>
      <c r="C115" s="5" t="s">
        <v>19</v>
      </c>
      <c r="D115" s="5" t="s">
        <v>212</v>
      </c>
      <c r="E115" s="5">
        <v>2.404301014E10</v>
      </c>
      <c r="F115" s="5" t="s">
        <v>21</v>
      </c>
      <c r="G115" s="5" t="s">
        <v>423</v>
      </c>
      <c r="H115" s="5">
        <v>6.289616708885E12</v>
      </c>
      <c r="I115" s="5">
        <v>2.0</v>
      </c>
      <c r="J115" s="5" t="s">
        <v>196</v>
      </c>
      <c r="K115" s="5">
        <v>2.0</v>
      </c>
      <c r="L115" s="5">
        <v>0.0</v>
      </c>
      <c r="M115" s="5" t="s">
        <v>24</v>
      </c>
      <c r="N115" s="5" t="s">
        <v>25</v>
      </c>
      <c r="O115" s="5" t="s">
        <v>29</v>
      </c>
      <c r="P115" s="5">
        <v>2.0</v>
      </c>
      <c r="Q115" s="5">
        <v>4.0</v>
      </c>
      <c r="R115" s="5">
        <v>2.0</v>
      </c>
      <c r="V115" s="7" t="str">
        <f t="shared" si="1"/>
        <v>24043</v>
      </c>
      <c r="W115" s="15" t="str">
        <f t="shared" si="2"/>
        <v>4</v>
      </c>
    </row>
    <row r="116" ht="22.5" customHeight="1">
      <c r="A116" s="4">
        <v>45911.807043043984</v>
      </c>
      <c r="B116" s="5" t="s">
        <v>348</v>
      </c>
      <c r="C116" s="5" t="s">
        <v>19</v>
      </c>
      <c r="D116" s="5" t="s">
        <v>349</v>
      </c>
      <c r="E116" s="5">
        <v>2.4083010097E10</v>
      </c>
      <c r="F116" s="5" t="s">
        <v>150</v>
      </c>
      <c r="G116" s="5" t="s">
        <v>267</v>
      </c>
      <c r="H116" s="5">
        <v>6.285748422644E12</v>
      </c>
      <c r="I116" s="5">
        <v>7.0</v>
      </c>
      <c r="J116" s="5" t="s">
        <v>34</v>
      </c>
      <c r="K116" s="5">
        <v>3.0</v>
      </c>
      <c r="L116" s="5">
        <v>5.0</v>
      </c>
      <c r="M116" s="5" t="s">
        <v>64</v>
      </c>
      <c r="N116" s="5" t="s">
        <v>19</v>
      </c>
      <c r="O116" s="5" t="s">
        <v>29</v>
      </c>
      <c r="P116" s="5">
        <v>4.0</v>
      </c>
      <c r="Q116" s="5">
        <v>4.0</v>
      </c>
      <c r="R116" s="5">
        <v>3.0</v>
      </c>
      <c r="V116" s="7" t="str">
        <f t="shared" si="1"/>
        <v>24083</v>
      </c>
      <c r="W116" s="15" t="str">
        <f t="shared" si="2"/>
        <v>8</v>
      </c>
    </row>
    <row r="117" ht="22.5" customHeight="1">
      <c r="A117" s="4">
        <v>45911.81088096065</v>
      </c>
      <c r="B117" s="5" t="s">
        <v>254</v>
      </c>
      <c r="C117" s="5" t="s">
        <v>19</v>
      </c>
      <c r="D117" s="5" t="s">
        <v>255</v>
      </c>
      <c r="E117" s="5">
        <v>2.3081010155E10</v>
      </c>
      <c r="F117" s="5" t="s">
        <v>150</v>
      </c>
      <c r="G117" s="5" t="s">
        <v>241</v>
      </c>
      <c r="H117" s="5">
        <v>6.285230366094E12</v>
      </c>
      <c r="I117" s="5">
        <v>5.0</v>
      </c>
      <c r="J117" s="5" t="s">
        <v>23</v>
      </c>
      <c r="K117" s="5">
        <v>5.0</v>
      </c>
      <c r="L117" s="5">
        <v>5.0</v>
      </c>
      <c r="M117" s="5" t="s">
        <v>49</v>
      </c>
      <c r="N117" s="5" t="s">
        <v>25</v>
      </c>
      <c r="O117" s="5" t="s">
        <v>26</v>
      </c>
      <c r="P117" s="5">
        <v>5.0</v>
      </c>
      <c r="Q117" s="5">
        <v>5.0</v>
      </c>
      <c r="R117" s="5">
        <v>2.0</v>
      </c>
      <c r="V117" s="7" t="str">
        <f t="shared" si="1"/>
        <v>23081</v>
      </c>
      <c r="W117" s="15" t="str">
        <f t="shared" si="2"/>
        <v>8</v>
      </c>
    </row>
    <row r="118" ht="22.5" customHeight="1">
      <c r="A118" s="16">
        <v>45911.81532740741</v>
      </c>
      <c r="B118" s="17" t="s">
        <v>424</v>
      </c>
      <c r="C118" s="17" t="s">
        <v>19</v>
      </c>
      <c r="D118" s="17" t="s">
        <v>425</v>
      </c>
      <c r="E118" s="17">
        <v>2.4081010264E10</v>
      </c>
      <c r="F118" s="17" t="s">
        <v>150</v>
      </c>
      <c r="G118" s="17" t="s">
        <v>426</v>
      </c>
      <c r="H118" s="17">
        <v>6.28123456789E12</v>
      </c>
      <c r="I118" s="17">
        <v>99.0</v>
      </c>
      <c r="J118" s="17" t="s">
        <v>196</v>
      </c>
      <c r="K118" s="17">
        <v>20.0</v>
      </c>
      <c r="L118" s="17">
        <v>20.0</v>
      </c>
      <c r="M118" s="17" t="s">
        <v>64</v>
      </c>
      <c r="N118" s="17" t="s">
        <v>25</v>
      </c>
      <c r="O118" s="17" t="s">
        <v>26</v>
      </c>
      <c r="P118" s="17">
        <v>5.0</v>
      </c>
      <c r="Q118" s="17">
        <v>5.0</v>
      </c>
      <c r="R118" s="17">
        <v>24.0</v>
      </c>
      <c r="V118" s="7" t="str">
        <f t="shared" si="1"/>
        <v>24081</v>
      </c>
      <c r="W118" s="15" t="str">
        <f t="shared" si="2"/>
        <v>8</v>
      </c>
    </row>
    <row r="119" ht="22.5" customHeight="1">
      <c r="A119" s="4">
        <v>45911.81855943287</v>
      </c>
      <c r="B119" s="5" t="s">
        <v>384</v>
      </c>
      <c r="C119" s="5" t="s">
        <v>19</v>
      </c>
      <c r="D119" s="5" t="s">
        <v>385</v>
      </c>
      <c r="E119" s="5">
        <v>2.4035010152E10</v>
      </c>
      <c r="F119" s="5" t="s">
        <v>160</v>
      </c>
      <c r="G119" s="5" t="s">
        <v>377</v>
      </c>
      <c r="H119" s="5">
        <v>6.2895364715063E13</v>
      </c>
      <c r="I119" s="5">
        <v>7.0</v>
      </c>
      <c r="J119" s="5" t="s">
        <v>23</v>
      </c>
      <c r="K119" s="5">
        <v>4.0</v>
      </c>
      <c r="L119" s="5">
        <v>4.0</v>
      </c>
      <c r="M119" s="5" t="s">
        <v>24</v>
      </c>
      <c r="N119" s="5" t="s">
        <v>25</v>
      </c>
      <c r="O119" s="5" t="s">
        <v>29</v>
      </c>
      <c r="P119" s="5">
        <v>4.0</v>
      </c>
      <c r="Q119" s="5">
        <v>5.0</v>
      </c>
      <c r="R119" s="5">
        <v>2.0</v>
      </c>
      <c r="V119" s="7" t="str">
        <f t="shared" si="1"/>
        <v>24035</v>
      </c>
      <c r="W119" s="15" t="str">
        <f t="shared" si="2"/>
        <v>3</v>
      </c>
    </row>
    <row r="120" ht="22.5" customHeight="1">
      <c r="A120" s="4">
        <v>45911.83651972222</v>
      </c>
      <c r="B120" s="5" t="s">
        <v>263</v>
      </c>
      <c r="C120" s="5" t="s">
        <v>19</v>
      </c>
      <c r="D120" s="5" t="s">
        <v>264</v>
      </c>
      <c r="E120" s="5">
        <v>2.4012010368E10</v>
      </c>
      <c r="F120" s="5" t="s">
        <v>105</v>
      </c>
      <c r="G120" s="5" t="s">
        <v>262</v>
      </c>
      <c r="H120" s="5">
        <v>6.287850690075E12</v>
      </c>
      <c r="I120" s="5">
        <v>4.0</v>
      </c>
      <c r="J120" s="5" t="s">
        <v>34</v>
      </c>
      <c r="K120" s="5">
        <v>4.0</v>
      </c>
      <c r="L120" s="5">
        <v>4.0</v>
      </c>
      <c r="M120" s="5" t="s">
        <v>49</v>
      </c>
      <c r="N120" s="5" t="s">
        <v>25</v>
      </c>
      <c r="O120" s="5" t="s">
        <v>29</v>
      </c>
      <c r="P120" s="5">
        <v>4.0</v>
      </c>
      <c r="Q120" s="5">
        <v>4.0</v>
      </c>
      <c r="R120" s="5">
        <v>2.0</v>
      </c>
      <c r="V120" s="7" t="str">
        <f t="shared" si="1"/>
        <v>24012</v>
      </c>
      <c r="W120" s="15" t="str">
        <f t="shared" si="2"/>
        <v>1</v>
      </c>
    </row>
    <row r="121" ht="22.5" customHeight="1">
      <c r="A121" s="4">
        <v>45911.8455384375</v>
      </c>
      <c r="B121" s="5" t="s">
        <v>256</v>
      </c>
      <c r="C121" s="5" t="s">
        <v>19</v>
      </c>
      <c r="D121" s="5" t="s">
        <v>257</v>
      </c>
      <c r="E121" s="5">
        <v>2.2081010195E10</v>
      </c>
      <c r="F121" s="5" t="s">
        <v>150</v>
      </c>
      <c r="G121" s="5" t="s">
        <v>241</v>
      </c>
      <c r="H121" s="5">
        <v>6.28583332455E12</v>
      </c>
      <c r="I121" s="5">
        <v>4.0</v>
      </c>
      <c r="J121" s="5" t="s">
        <v>34</v>
      </c>
      <c r="K121" s="5">
        <v>2.0</v>
      </c>
      <c r="L121" s="5">
        <v>4.0</v>
      </c>
      <c r="M121" s="5" t="s">
        <v>49</v>
      </c>
      <c r="N121" s="5" t="s">
        <v>25</v>
      </c>
      <c r="O121" s="5" t="s">
        <v>26</v>
      </c>
      <c r="P121" s="5">
        <v>5.0</v>
      </c>
      <c r="Q121" s="5">
        <v>5.0</v>
      </c>
      <c r="R121" s="5">
        <v>3.0</v>
      </c>
      <c r="V121" s="7" t="str">
        <f t="shared" si="1"/>
        <v>22081</v>
      </c>
      <c r="W121" s="15" t="str">
        <f t="shared" si="2"/>
        <v>8</v>
      </c>
    </row>
    <row r="122" ht="22.5" customHeight="1">
      <c r="A122" s="4">
        <v>45911.92372511574</v>
      </c>
      <c r="B122" s="5" t="s">
        <v>36</v>
      </c>
      <c r="C122" s="5" t="s">
        <v>19</v>
      </c>
      <c r="D122" s="5" t="s">
        <v>37</v>
      </c>
      <c r="E122" s="5">
        <v>2.4042010259E10</v>
      </c>
      <c r="F122" s="5" t="s">
        <v>21</v>
      </c>
      <c r="G122" s="5" t="s">
        <v>22</v>
      </c>
      <c r="H122" s="5">
        <v>6.285850040771E12</v>
      </c>
      <c r="I122" s="5">
        <v>6.0</v>
      </c>
      <c r="J122" s="5" t="s">
        <v>34</v>
      </c>
      <c r="K122" s="5">
        <v>4.0</v>
      </c>
      <c r="L122" s="5">
        <v>4.0</v>
      </c>
      <c r="M122" s="5" t="s">
        <v>24</v>
      </c>
      <c r="N122" s="5" t="s">
        <v>25</v>
      </c>
      <c r="O122" s="5" t="s">
        <v>29</v>
      </c>
      <c r="P122" s="5">
        <v>3.0</v>
      </c>
      <c r="Q122" s="5">
        <v>3.0</v>
      </c>
      <c r="R122" s="5">
        <v>3.0</v>
      </c>
      <c r="V122" s="7" t="str">
        <f t="shared" si="1"/>
        <v>24042</v>
      </c>
      <c r="W122" s="15" t="str">
        <f t="shared" si="2"/>
        <v>4</v>
      </c>
    </row>
    <row r="123" ht="22.5" customHeight="1">
      <c r="A123" s="4">
        <v>45912.4071730787</v>
      </c>
      <c r="B123" s="5" t="s">
        <v>165</v>
      </c>
      <c r="C123" s="5" t="s">
        <v>19</v>
      </c>
      <c r="D123" s="5" t="s">
        <v>166</v>
      </c>
      <c r="E123" s="5">
        <v>2.4044010006E10</v>
      </c>
      <c r="F123" s="5" t="s">
        <v>21</v>
      </c>
      <c r="G123" s="5" t="s">
        <v>164</v>
      </c>
      <c r="H123" s="5">
        <v>6.289699678933E12</v>
      </c>
      <c r="I123" s="5">
        <v>8.0</v>
      </c>
      <c r="J123" s="5" t="s">
        <v>96</v>
      </c>
      <c r="K123" s="5">
        <v>6.0</v>
      </c>
      <c r="L123" s="5">
        <v>6.0</v>
      </c>
      <c r="M123" s="5" t="s">
        <v>24</v>
      </c>
      <c r="N123" s="5" t="s">
        <v>25</v>
      </c>
      <c r="O123" s="5" t="s">
        <v>35</v>
      </c>
      <c r="P123" s="5">
        <v>4.0</v>
      </c>
      <c r="Q123" s="5">
        <v>4.0</v>
      </c>
      <c r="R123" s="5">
        <v>4.0</v>
      </c>
      <c r="V123" s="7" t="str">
        <f t="shared" si="1"/>
        <v>24044</v>
      </c>
      <c r="W123" s="15" t="str">
        <f t="shared" si="2"/>
        <v>4</v>
      </c>
    </row>
    <row r="124" ht="22.5" customHeight="1">
      <c r="A124" s="4">
        <v>45912.40948070602</v>
      </c>
      <c r="B124" s="5" t="s">
        <v>90</v>
      </c>
      <c r="C124" s="5" t="s">
        <v>19</v>
      </c>
      <c r="D124" s="5" t="s">
        <v>91</v>
      </c>
      <c r="E124" s="5">
        <v>2.5041010166E10</v>
      </c>
      <c r="F124" s="5" t="s">
        <v>21</v>
      </c>
      <c r="G124" s="5" t="s">
        <v>427</v>
      </c>
      <c r="H124" s="5">
        <v>6.282132881116E12</v>
      </c>
      <c r="I124" s="5">
        <v>4.0</v>
      </c>
      <c r="J124" s="5" t="s">
        <v>23</v>
      </c>
      <c r="K124" s="5">
        <v>5.0</v>
      </c>
      <c r="L124" s="5">
        <v>2.0</v>
      </c>
      <c r="M124" s="5" t="s">
        <v>24</v>
      </c>
      <c r="N124" s="5" t="s">
        <v>25</v>
      </c>
      <c r="O124" s="5" t="s">
        <v>29</v>
      </c>
      <c r="P124" s="5">
        <v>5.0</v>
      </c>
      <c r="Q124" s="5">
        <v>5.0</v>
      </c>
      <c r="R124" s="5">
        <v>1.0</v>
      </c>
      <c r="V124" s="7" t="str">
        <f t="shared" si="1"/>
        <v>25041</v>
      </c>
      <c r="W124" s="15" t="str">
        <f t="shared" si="2"/>
        <v>4</v>
      </c>
    </row>
    <row r="125" ht="22.5" customHeight="1">
      <c r="A125" s="4">
        <v>45912.4100172801</v>
      </c>
      <c r="B125" s="5" t="s">
        <v>92</v>
      </c>
      <c r="C125" s="5" t="s">
        <v>19</v>
      </c>
      <c r="D125" s="5" t="s">
        <v>93</v>
      </c>
      <c r="E125" s="5">
        <v>2.5041010167E10</v>
      </c>
      <c r="F125" s="5" t="s">
        <v>21</v>
      </c>
      <c r="G125" s="5" t="s">
        <v>428</v>
      </c>
      <c r="H125" s="5">
        <v>6.285755458749E12</v>
      </c>
      <c r="I125" s="5">
        <v>5.0</v>
      </c>
      <c r="J125" s="5" t="s">
        <v>23</v>
      </c>
      <c r="K125" s="5">
        <v>4.0</v>
      </c>
      <c r="L125" s="5">
        <v>4.0</v>
      </c>
      <c r="M125" s="5" t="s">
        <v>24</v>
      </c>
      <c r="N125" s="5" t="s">
        <v>25</v>
      </c>
      <c r="O125" s="5" t="s">
        <v>35</v>
      </c>
      <c r="P125" s="5">
        <v>4.0</v>
      </c>
      <c r="Q125" s="5">
        <v>4.0</v>
      </c>
      <c r="R125" s="5">
        <v>2.0</v>
      </c>
      <c r="V125" s="7" t="str">
        <f t="shared" si="1"/>
        <v>25041</v>
      </c>
      <c r="W125" s="15" t="str">
        <f t="shared" si="2"/>
        <v>4</v>
      </c>
    </row>
    <row r="126" ht="22.5" customHeight="1">
      <c r="A126" s="4">
        <v>45912.41026502315</v>
      </c>
      <c r="B126" s="5" t="s">
        <v>38</v>
      </c>
      <c r="C126" s="5" t="s">
        <v>19</v>
      </c>
      <c r="D126" s="5" t="s">
        <v>39</v>
      </c>
      <c r="E126" s="5">
        <v>2.5042010008E10</v>
      </c>
      <c r="F126" s="5" t="s">
        <v>21</v>
      </c>
      <c r="G126" s="5" t="s">
        <v>408</v>
      </c>
      <c r="H126" s="5">
        <v>6.285782193948E12</v>
      </c>
      <c r="I126" s="5">
        <v>5.0</v>
      </c>
      <c r="J126" s="5" t="s">
        <v>34</v>
      </c>
      <c r="K126" s="5">
        <v>5.0</v>
      </c>
      <c r="L126" s="5">
        <v>6.0</v>
      </c>
      <c r="M126" s="5" t="s">
        <v>24</v>
      </c>
      <c r="N126" s="5" t="s">
        <v>25</v>
      </c>
      <c r="O126" s="5" t="s">
        <v>26</v>
      </c>
      <c r="P126" s="5">
        <v>3.0</v>
      </c>
      <c r="Q126" s="5">
        <v>3.0</v>
      </c>
      <c r="R126" s="5">
        <v>1.0</v>
      </c>
      <c r="V126" s="7" t="str">
        <f t="shared" si="1"/>
        <v>25042</v>
      </c>
      <c r="W126" s="15" t="str">
        <f t="shared" si="2"/>
        <v>4</v>
      </c>
    </row>
    <row r="127" ht="22.5" customHeight="1">
      <c r="A127" s="4">
        <v>45912.41044732639</v>
      </c>
      <c r="B127" s="5" t="s">
        <v>40</v>
      </c>
      <c r="C127" s="5" t="s">
        <v>19</v>
      </c>
      <c r="D127" s="5" t="s">
        <v>41</v>
      </c>
      <c r="E127" s="5">
        <v>2.5042010034E10</v>
      </c>
      <c r="F127" s="5" t="s">
        <v>21</v>
      </c>
      <c r="G127" s="5" t="s">
        <v>408</v>
      </c>
      <c r="H127" s="5">
        <v>6.282265036176E12</v>
      </c>
      <c r="I127" s="5">
        <v>5.0</v>
      </c>
      <c r="J127" s="5" t="s">
        <v>34</v>
      </c>
      <c r="K127" s="5">
        <v>5.0</v>
      </c>
      <c r="L127" s="5">
        <v>6.0</v>
      </c>
      <c r="M127" s="5" t="s">
        <v>24</v>
      </c>
      <c r="N127" s="5" t="s">
        <v>25</v>
      </c>
      <c r="O127" s="5" t="s">
        <v>29</v>
      </c>
      <c r="P127" s="5">
        <v>3.0</v>
      </c>
      <c r="Q127" s="5">
        <v>3.0</v>
      </c>
      <c r="R127" s="5">
        <v>3.0</v>
      </c>
      <c r="V127" s="7" t="str">
        <f t="shared" si="1"/>
        <v>25042</v>
      </c>
      <c r="W127" s="15" t="str">
        <f t="shared" si="2"/>
        <v>4</v>
      </c>
    </row>
    <row r="128" ht="22.5" customHeight="1">
      <c r="A128" s="4">
        <v>45912.41473795139</v>
      </c>
      <c r="B128" s="5" t="s">
        <v>213</v>
      </c>
      <c r="C128" s="5" t="s">
        <v>19</v>
      </c>
      <c r="D128" s="5" t="s">
        <v>214</v>
      </c>
      <c r="E128" s="5">
        <v>2.2043010196E10</v>
      </c>
      <c r="F128" s="5" t="s">
        <v>21</v>
      </c>
      <c r="G128" s="5" t="s">
        <v>409</v>
      </c>
      <c r="H128" s="5">
        <v>6.28554902327E12</v>
      </c>
      <c r="I128" s="5">
        <v>7.0</v>
      </c>
      <c r="J128" s="5" t="s">
        <v>23</v>
      </c>
      <c r="K128" s="5">
        <v>5.0</v>
      </c>
      <c r="L128" s="5">
        <v>4.0</v>
      </c>
      <c r="M128" s="5" t="s">
        <v>49</v>
      </c>
      <c r="N128" s="5" t="s">
        <v>25</v>
      </c>
      <c r="O128" s="5" t="s">
        <v>35</v>
      </c>
      <c r="P128" s="5">
        <v>4.0</v>
      </c>
      <c r="Q128" s="5">
        <v>2.0</v>
      </c>
      <c r="R128" s="5">
        <v>6.0</v>
      </c>
      <c r="V128" s="7" t="str">
        <f t="shared" si="1"/>
        <v>22043</v>
      </c>
      <c r="W128" s="15" t="str">
        <f t="shared" si="2"/>
        <v>4</v>
      </c>
    </row>
    <row r="129" ht="22.5" customHeight="1">
      <c r="A129" s="4">
        <v>45912.41490631945</v>
      </c>
      <c r="B129" s="5" t="s">
        <v>215</v>
      </c>
      <c r="C129" s="5" t="s">
        <v>19</v>
      </c>
      <c r="D129" s="5" t="s">
        <v>216</v>
      </c>
      <c r="E129" s="5">
        <v>2.2043010188E10</v>
      </c>
      <c r="F129" s="5" t="s">
        <v>21</v>
      </c>
      <c r="G129" s="5" t="s">
        <v>179</v>
      </c>
      <c r="H129" s="5">
        <v>6.289523419901E12</v>
      </c>
      <c r="I129" s="5">
        <v>7.0</v>
      </c>
      <c r="J129" s="5" t="s">
        <v>23</v>
      </c>
      <c r="K129" s="5">
        <v>7.0</v>
      </c>
      <c r="L129" s="5">
        <v>5.0</v>
      </c>
      <c r="M129" s="5" t="s">
        <v>24</v>
      </c>
      <c r="N129" s="5" t="s">
        <v>25</v>
      </c>
      <c r="O129" s="5" t="s">
        <v>35</v>
      </c>
      <c r="P129" s="5">
        <v>3.0</v>
      </c>
      <c r="Q129" s="5">
        <v>2.0</v>
      </c>
      <c r="R129" s="5">
        <v>9.0</v>
      </c>
      <c r="V129" s="7" t="str">
        <f t="shared" si="1"/>
        <v>22043</v>
      </c>
      <c r="W129" s="15" t="str">
        <f t="shared" si="2"/>
        <v>4</v>
      </c>
    </row>
    <row r="130" ht="22.5" customHeight="1">
      <c r="A130" s="4">
        <v>45912.41493827546</v>
      </c>
      <c r="B130" s="5" t="s">
        <v>217</v>
      </c>
      <c r="C130" s="5" t="s">
        <v>19</v>
      </c>
      <c r="D130" s="5" t="s">
        <v>218</v>
      </c>
      <c r="E130" s="5">
        <v>2.2043010213E10</v>
      </c>
      <c r="F130" s="5" t="s">
        <v>21</v>
      </c>
      <c r="G130" s="5" t="s">
        <v>429</v>
      </c>
      <c r="H130" s="5">
        <v>6.289687231599E12</v>
      </c>
      <c r="I130" s="5">
        <v>7.0</v>
      </c>
      <c r="J130" s="5" t="s">
        <v>23</v>
      </c>
      <c r="K130" s="5">
        <v>5.0</v>
      </c>
      <c r="L130" s="5">
        <v>5.0</v>
      </c>
      <c r="M130" s="5" t="s">
        <v>46</v>
      </c>
      <c r="N130" s="5" t="s">
        <v>25</v>
      </c>
      <c r="O130" s="5" t="s">
        <v>26</v>
      </c>
      <c r="P130" s="5">
        <v>5.0</v>
      </c>
      <c r="Q130" s="5">
        <v>3.0</v>
      </c>
      <c r="R130" s="5">
        <v>7.0</v>
      </c>
      <c r="V130" s="7" t="str">
        <f t="shared" si="1"/>
        <v>22043</v>
      </c>
      <c r="W130" s="15" t="str">
        <f t="shared" si="2"/>
        <v>4</v>
      </c>
    </row>
    <row r="131" ht="22.5" customHeight="1">
      <c r="A131" s="4">
        <v>45912.41495666667</v>
      </c>
      <c r="B131" s="5" t="s">
        <v>219</v>
      </c>
      <c r="C131" s="5" t="s">
        <v>19</v>
      </c>
      <c r="D131" s="5" t="s">
        <v>220</v>
      </c>
      <c r="E131" s="5">
        <v>2.2043010199E10</v>
      </c>
      <c r="F131" s="5" t="s">
        <v>21</v>
      </c>
      <c r="G131" s="5" t="s">
        <v>179</v>
      </c>
      <c r="H131" s="5">
        <v>6.285815245501E12</v>
      </c>
      <c r="I131" s="5">
        <v>7.0</v>
      </c>
      <c r="J131" s="5" t="s">
        <v>23</v>
      </c>
      <c r="K131" s="5">
        <v>5.0</v>
      </c>
      <c r="L131" s="5">
        <v>5.0</v>
      </c>
      <c r="M131" s="5" t="s">
        <v>46</v>
      </c>
      <c r="N131" s="5" t="s">
        <v>25</v>
      </c>
      <c r="O131" s="5" t="s">
        <v>29</v>
      </c>
      <c r="P131" s="5">
        <v>4.0</v>
      </c>
      <c r="Q131" s="5">
        <v>4.0</v>
      </c>
      <c r="R131" s="5">
        <v>7.0</v>
      </c>
      <c r="V131" s="7" t="str">
        <f t="shared" si="1"/>
        <v>22043</v>
      </c>
      <c r="W131" s="15" t="str">
        <f t="shared" si="2"/>
        <v>4</v>
      </c>
    </row>
    <row r="132" ht="22.5" customHeight="1">
      <c r="A132" s="4">
        <v>45912.41534230324</v>
      </c>
      <c r="B132" s="5" t="s">
        <v>221</v>
      </c>
      <c r="C132" s="5" t="s">
        <v>19</v>
      </c>
      <c r="D132" s="5" t="s">
        <v>222</v>
      </c>
      <c r="E132" s="5">
        <v>2.2043010201E10</v>
      </c>
      <c r="F132" s="5" t="s">
        <v>21</v>
      </c>
      <c r="G132" s="5" t="s">
        <v>429</v>
      </c>
      <c r="H132" s="5">
        <v>6.288228553473E12</v>
      </c>
      <c r="I132" s="5">
        <v>7.0</v>
      </c>
      <c r="J132" s="5" t="s">
        <v>23</v>
      </c>
      <c r="K132" s="5">
        <v>5.0</v>
      </c>
      <c r="L132" s="5">
        <v>3.0</v>
      </c>
      <c r="M132" s="5" t="s">
        <v>46</v>
      </c>
      <c r="N132" s="5" t="s">
        <v>25</v>
      </c>
      <c r="O132" s="5" t="s">
        <v>35</v>
      </c>
      <c r="P132" s="5">
        <v>3.0</v>
      </c>
      <c r="Q132" s="5">
        <v>4.0</v>
      </c>
      <c r="R132" s="5">
        <v>3.0</v>
      </c>
      <c r="V132" s="7" t="str">
        <f t="shared" si="1"/>
        <v>22043</v>
      </c>
      <c r="W132" s="15" t="str">
        <f t="shared" si="2"/>
        <v>4</v>
      </c>
    </row>
    <row r="133" ht="22.5" customHeight="1">
      <c r="A133" s="4">
        <v>45912.41608465278</v>
      </c>
      <c r="B133" s="5" t="s">
        <v>223</v>
      </c>
      <c r="C133" s="5" t="s">
        <v>19</v>
      </c>
      <c r="D133" s="5" t="s">
        <v>224</v>
      </c>
      <c r="E133" s="5">
        <v>2.2043010251E10</v>
      </c>
      <c r="F133" s="5" t="s">
        <v>21</v>
      </c>
      <c r="G133" s="5" t="s">
        <v>179</v>
      </c>
      <c r="H133" s="5">
        <v>6.28133435344E12</v>
      </c>
      <c r="I133" s="5">
        <v>7.0</v>
      </c>
      <c r="J133" s="5" t="s">
        <v>34</v>
      </c>
      <c r="K133" s="5">
        <v>5.0</v>
      </c>
      <c r="L133" s="5">
        <v>5.0</v>
      </c>
      <c r="M133" s="5" t="s">
        <v>49</v>
      </c>
      <c r="N133" s="5" t="s">
        <v>25</v>
      </c>
      <c r="O133" s="5" t="s">
        <v>26</v>
      </c>
      <c r="P133" s="5">
        <v>5.0</v>
      </c>
      <c r="Q133" s="5">
        <v>5.0</v>
      </c>
      <c r="R133" s="5">
        <v>7.0</v>
      </c>
      <c r="V133" s="7" t="str">
        <f t="shared" si="1"/>
        <v>22043</v>
      </c>
      <c r="W133" s="15" t="str">
        <f t="shared" si="2"/>
        <v>4</v>
      </c>
    </row>
    <row r="134" ht="22.5" customHeight="1">
      <c r="A134" s="4">
        <v>45912.42064709491</v>
      </c>
      <c r="B134" s="5" t="s">
        <v>350</v>
      </c>
      <c r="C134" s="5" t="s">
        <v>19</v>
      </c>
      <c r="D134" s="5" t="s">
        <v>351</v>
      </c>
      <c r="E134" s="5">
        <v>2.5083010149E10</v>
      </c>
      <c r="F134" s="5" t="s">
        <v>150</v>
      </c>
      <c r="G134" s="5" t="s">
        <v>267</v>
      </c>
      <c r="H134" s="5">
        <v>6.285600284801E12</v>
      </c>
      <c r="I134" s="5">
        <v>3.0</v>
      </c>
      <c r="J134" s="5" t="s">
        <v>34</v>
      </c>
      <c r="K134" s="5">
        <v>1.0</v>
      </c>
      <c r="L134" s="5">
        <v>2.0</v>
      </c>
      <c r="M134" s="5" t="s">
        <v>24</v>
      </c>
      <c r="N134" s="5" t="s">
        <v>25</v>
      </c>
      <c r="O134" s="5" t="s">
        <v>26</v>
      </c>
      <c r="P134" s="5">
        <v>5.0</v>
      </c>
      <c r="Q134" s="5">
        <v>5.0</v>
      </c>
      <c r="R134" s="5">
        <v>3.0</v>
      </c>
      <c r="V134" s="7" t="str">
        <f t="shared" si="1"/>
        <v>25083</v>
      </c>
      <c r="W134" s="15" t="str">
        <f t="shared" si="2"/>
        <v>8</v>
      </c>
    </row>
    <row r="135" ht="22.5" customHeight="1">
      <c r="A135" s="4">
        <v>45912.42179555555</v>
      </c>
      <c r="B135" s="5" t="s">
        <v>42</v>
      </c>
      <c r="C135" s="5" t="s">
        <v>19</v>
      </c>
      <c r="D135" s="5" t="s">
        <v>43</v>
      </c>
      <c r="E135" s="5">
        <v>2.5042010205E10</v>
      </c>
      <c r="F135" s="5" t="s">
        <v>21</v>
      </c>
      <c r="G135" s="5" t="s">
        <v>408</v>
      </c>
      <c r="H135" s="5">
        <v>6.285645814101E12</v>
      </c>
      <c r="I135" s="5">
        <v>5.0</v>
      </c>
      <c r="J135" s="5" t="s">
        <v>23</v>
      </c>
      <c r="K135" s="5">
        <v>5.0</v>
      </c>
      <c r="L135" s="5">
        <v>2.0</v>
      </c>
      <c r="M135" s="5" t="s">
        <v>24</v>
      </c>
      <c r="N135" s="5" t="s">
        <v>25</v>
      </c>
      <c r="O135" s="5" t="s">
        <v>29</v>
      </c>
      <c r="P135" s="5">
        <v>4.0</v>
      </c>
      <c r="Q135" s="5">
        <v>4.0</v>
      </c>
      <c r="R135" s="5">
        <v>1.0</v>
      </c>
      <c r="V135" s="7" t="str">
        <f t="shared" si="1"/>
        <v>25042</v>
      </c>
      <c r="W135" s="15" t="str">
        <f t="shared" si="2"/>
        <v>4</v>
      </c>
    </row>
    <row r="136" ht="22.5" customHeight="1">
      <c r="A136" s="4">
        <v>45912.42285101852</v>
      </c>
      <c r="B136" s="5" t="s">
        <v>44</v>
      </c>
      <c r="C136" s="5" t="s">
        <v>19</v>
      </c>
      <c r="D136" s="5" t="s">
        <v>45</v>
      </c>
      <c r="E136" s="5">
        <v>2.5042010298E10</v>
      </c>
      <c r="F136" s="5" t="s">
        <v>21</v>
      </c>
      <c r="G136" s="5" t="s">
        <v>22</v>
      </c>
      <c r="H136" s="5">
        <v>6.287864399356E12</v>
      </c>
      <c r="I136" s="5">
        <v>4.0</v>
      </c>
      <c r="J136" s="5" t="s">
        <v>23</v>
      </c>
      <c r="K136" s="5">
        <v>5.0</v>
      </c>
      <c r="L136" s="5">
        <v>3.0</v>
      </c>
      <c r="M136" s="5" t="s">
        <v>46</v>
      </c>
      <c r="N136" s="5" t="s">
        <v>25</v>
      </c>
      <c r="O136" s="5" t="s">
        <v>26</v>
      </c>
      <c r="P136" s="5">
        <v>5.0</v>
      </c>
      <c r="Q136" s="5">
        <v>4.0</v>
      </c>
      <c r="R136" s="5">
        <v>2.0</v>
      </c>
      <c r="V136" s="7" t="str">
        <f t="shared" si="1"/>
        <v>25042</v>
      </c>
      <c r="W136" s="15" t="str">
        <f t="shared" si="2"/>
        <v>4</v>
      </c>
    </row>
    <row r="137" ht="22.5" customHeight="1">
      <c r="A137" s="4">
        <v>45912.42336833333</v>
      </c>
      <c r="B137" s="5" t="s">
        <v>47</v>
      </c>
      <c r="C137" s="5" t="s">
        <v>19</v>
      </c>
      <c r="D137" s="5" t="s">
        <v>48</v>
      </c>
      <c r="E137" s="5">
        <v>2.4042010088E10</v>
      </c>
      <c r="F137" s="5" t="s">
        <v>21</v>
      </c>
      <c r="G137" s="5" t="s">
        <v>22</v>
      </c>
      <c r="H137" s="5">
        <v>6.285853281693E12</v>
      </c>
      <c r="I137" s="5">
        <v>6.0</v>
      </c>
      <c r="J137" s="5" t="s">
        <v>23</v>
      </c>
      <c r="K137" s="5">
        <v>5.0</v>
      </c>
      <c r="L137" s="5">
        <v>5.0</v>
      </c>
      <c r="M137" s="5" t="s">
        <v>49</v>
      </c>
      <c r="N137" s="5" t="s">
        <v>25</v>
      </c>
      <c r="O137" s="5" t="s">
        <v>26</v>
      </c>
      <c r="P137" s="5">
        <v>5.0</v>
      </c>
      <c r="Q137" s="5">
        <v>5.0</v>
      </c>
      <c r="R137" s="5">
        <v>4.0</v>
      </c>
      <c r="V137" s="7" t="str">
        <f t="shared" si="1"/>
        <v>24042</v>
      </c>
      <c r="W137" s="15" t="str">
        <f t="shared" si="2"/>
        <v>4</v>
      </c>
    </row>
    <row r="138" ht="22.5" customHeight="1">
      <c r="A138" s="4">
        <v>45912.42469046296</v>
      </c>
      <c r="B138" s="5" t="s">
        <v>50</v>
      </c>
      <c r="C138" s="5" t="s">
        <v>19</v>
      </c>
      <c r="D138" s="5" t="s">
        <v>51</v>
      </c>
      <c r="E138" s="5">
        <v>2.5042010211E10</v>
      </c>
      <c r="F138" s="5" t="s">
        <v>21</v>
      </c>
      <c r="G138" s="5" t="s">
        <v>408</v>
      </c>
      <c r="H138" s="5">
        <v>6.28786014725E12</v>
      </c>
      <c r="I138" s="5">
        <v>3.0</v>
      </c>
      <c r="J138" s="5" t="s">
        <v>23</v>
      </c>
      <c r="K138" s="5">
        <v>5.0</v>
      </c>
      <c r="L138" s="5">
        <v>4.0</v>
      </c>
      <c r="M138" s="5" t="s">
        <v>49</v>
      </c>
      <c r="N138" s="5" t="s">
        <v>25</v>
      </c>
      <c r="O138" s="5" t="s">
        <v>29</v>
      </c>
      <c r="P138" s="5">
        <v>3.0</v>
      </c>
      <c r="Q138" s="5">
        <v>3.0</v>
      </c>
      <c r="R138" s="5">
        <v>1.0</v>
      </c>
      <c r="V138" s="7" t="str">
        <f t="shared" si="1"/>
        <v>25042</v>
      </c>
      <c r="W138" s="15" t="str">
        <f t="shared" si="2"/>
        <v>4</v>
      </c>
    </row>
    <row r="139" ht="22.5" customHeight="1">
      <c r="A139" s="4">
        <v>45912.424852233795</v>
      </c>
      <c r="B139" s="5" t="s">
        <v>52</v>
      </c>
      <c r="C139" s="5" t="s">
        <v>19</v>
      </c>
      <c r="D139" s="5" t="s">
        <v>53</v>
      </c>
      <c r="E139" s="5">
        <v>2.4042010155E10</v>
      </c>
      <c r="F139" s="5" t="s">
        <v>21</v>
      </c>
      <c r="G139" s="5" t="s">
        <v>408</v>
      </c>
      <c r="H139" s="5">
        <v>6.281217226831E12</v>
      </c>
      <c r="I139" s="5">
        <v>6.0</v>
      </c>
      <c r="J139" s="5" t="s">
        <v>23</v>
      </c>
      <c r="K139" s="5">
        <v>5.0</v>
      </c>
      <c r="L139" s="5">
        <v>5.0</v>
      </c>
      <c r="M139" s="5" t="s">
        <v>24</v>
      </c>
      <c r="N139" s="5" t="s">
        <v>19</v>
      </c>
      <c r="O139" s="5" t="s">
        <v>26</v>
      </c>
      <c r="P139" s="5">
        <v>5.0</v>
      </c>
      <c r="Q139" s="5">
        <v>5.0</v>
      </c>
      <c r="R139" s="5">
        <v>3.0</v>
      </c>
      <c r="V139" s="7" t="str">
        <f t="shared" si="1"/>
        <v>24042</v>
      </c>
      <c r="W139" s="15" t="str">
        <f t="shared" si="2"/>
        <v>4</v>
      </c>
    </row>
    <row r="140" ht="22.5" customHeight="1">
      <c r="A140" s="4">
        <v>45912.425151759264</v>
      </c>
      <c r="B140" s="5" t="s">
        <v>54</v>
      </c>
      <c r="C140" s="5" t="s">
        <v>19</v>
      </c>
      <c r="D140" s="5" t="s">
        <v>55</v>
      </c>
      <c r="E140" s="5">
        <v>2.5042010221E10</v>
      </c>
      <c r="F140" s="5" t="s">
        <v>21</v>
      </c>
      <c r="G140" s="5" t="s">
        <v>22</v>
      </c>
      <c r="H140" s="5">
        <v>6.287732543111E12</v>
      </c>
      <c r="I140" s="5">
        <v>4.0</v>
      </c>
      <c r="J140" s="5" t="s">
        <v>23</v>
      </c>
      <c r="K140" s="5">
        <v>4.0</v>
      </c>
      <c r="L140" s="5">
        <v>2.0</v>
      </c>
      <c r="M140" s="5" t="s">
        <v>24</v>
      </c>
      <c r="N140" s="5" t="s">
        <v>25</v>
      </c>
      <c r="O140" s="5" t="s">
        <v>29</v>
      </c>
      <c r="P140" s="5">
        <v>3.0</v>
      </c>
      <c r="Q140" s="5">
        <v>4.0</v>
      </c>
      <c r="R140" s="5">
        <v>2.0</v>
      </c>
      <c r="V140" s="7" t="str">
        <f t="shared" si="1"/>
        <v>25042</v>
      </c>
      <c r="W140" s="15" t="str">
        <f t="shared" si="2"/>
        <v>4</v>
      </c>
    </row>
    <row r="141" ht="22.5" customHeight="1">
      <c r="A141" s="4">
        <v>45912.42577579861</v>
      </c>
      <c r="B141" s="5" t="s">
        <v>56</v>
      </c>
      <c r="C141" s="5" t="s">
        <v>19</v>
      </c>
      <c r="D141" s="5" t="s">
        <v>57</v>
      </c>
      <c r="E141" s="5">
        <v>2.4042010316E10</v>
      </c>
      <c r="F141" s="5" t="s">
        <v>21</v>
      </c>
      <c r="G141" s="5" t="s">
        <v>22</v>
      </c>
      <c r="H141" s="5">
        <v>6.281917513332E12</v>
      </c>
      <c r="I141" s="5">
        <v>7.0</v>
      </c>
      <c r="J141" s="5" t="s">
        <v>23</v>
      </c>
      <c r="K141" s="5">
        <v>4.0</v>
      </c>
      <c r="L141" s="5">
        <v>4.0</v>
      </c>
      <c r="M141" s="5" t="s">
        <v>24</v>
      </c>
      <c r="N141" s="5" t="s">
        <v>25</v>
      </c>
      <c r="O141" s="5" t="s">
        <v>29</v>
      </c>
      <c r="P141" s="5">
        <v>4.0</v>
      </c>
      <c r="Q141" s="5">
        <v>4.0</v>
      </c>
      <c r="R141" s="5">
        <v>1.0</v>
      </c>
      <c r="V141" s="7" t="str">
        <f t="shared" si="1"/>
        <v>24042</v>
      </c>
      <c r="W141" s="15" t="str">
        <f t="shared" si="2"/>
        <v>4</v>
      </c>
    </row>
    <row r="142" ht="22.5" customHeight="1">
      <c r="A142" s="4">
        <v>45912.42580353009</v>
      </c>
      <c r="B142" s="5" t="s">
        <v>58</v>
      </c>
      <c r="C142" s="5" t="s">
        <v>19</v>
      </c>
      <c r="D142" s="5" t="s">
        <v>59</v>
      </c>
      <c r="E142" s="5">
        <v>2.404201015E10</v>
      </c>
      <c r="F142" s="5" t="s">
        <v>21</v>
      </c>
      <c r="G142" s="5" t="s">
        <v>22</v>
      </c>
      <c r="H142" s="5">
        <v>6.285932168653E12</v>
      </c>
      <c r="I142" s="5">
        <v>5.0</v>
      </c>
      <c r="J142" s="5" t="s">
        <v>23</v>
      </c>
      <c r="K142" s="5">
        <v>4.0</v>
      </c>
      <c r="L142" s="5">
        <v>4.0</v>
      </c>
      <c r="M142" s="5" t="s">
        <v>24</v>
      </c>
      <c r="N142" s="5" t="s">
        <v>25</v>
      </c>
      <c r="O142" s="5" t="s">
        <v>35</v>
      </c>
      <c r="P142" s="5">
        <v>3.0</v>
      </c>
      <c r="Q142" s="5">
        <v>3.0</v>
      </c>
      <c r="R142" s="5">
        <v>1.0</v>
      </c>
      <c r="V142" s="7" t="str">
        <f t="shared" si="1"/>
        <v>24042</v>
      </c>
      <c r="W142" s="15" t="str">
        <f t="shared" si="2"/>
        <v>4</v>
      </c>
    </row>
    <row r="143" ht="22.5" customHeight="1">
      <c r="A143" s="4">
        <v>45912.42609300926</v>
      </c>
      <c r="B143" s="5" t="s">
        <v>60</v>
      </c>
      <c r="C143" s="5" t="s">
        <v>19</v>
      </c>
      <c r="D143" s="5" t="s">
        <v>61</v>
      </c>
      <c r="E143" s="5">
        <v>2.404201031E10</v>
      </c>
      <c r="F143" s="5" t="s">
        <v>21</v>
      </c>
      <c r="G143" s="5" t="s">
        <v>22</v>
      </c>
      <c r="H143" s="5">
        <v>6.285784693253E12</v>
      </c>
      <c r="I143" s="5">
        <v>6.0</v>
      </c>
      <c r="J143" s="5" t="s">
        <v>23</v>
      </c>
      <c r="K143" s="5">
        <v>6.0</v>
      </c>
      <c r="L143" s="5">
        <v>3.0</v>
      </c>
      <c r="M143" s="5" t="s">
        <v>24</v>
      </c>
      <c r="N143" s="5" t="s">
        <v>25</v>
      </c>
      <c r="O143" s="5" t="s">
        <v>26</v>
      </c>
      <c r="P143" s="5">
        <v>3.0</v>
      </c>
      <c r="Q143" s="5">
        <v>5.0</v>
      </c>
      <c r="R143" s="5">
        <v>1.0</v>
      </c>
      <c r="V143" s="7" t="str">
        <f t="shared" si="1"/>
        <v>24042</v>
      </c>
      <c r="W143" s="15" t="str">
        <f t="shared" si="2"/>
        <v>4</v>
      </c>
    </row>
    <row r="144" ht="22.5" customHeight="1">
      <c r="A144" s="4">
        <v>45912.4261062963</v>
      </c>
      <c r="B144" s="5" t="s">
        <v>62</v>
      </c>
      <c r="C144" s="5" t="s">
        <v>19</v>
      </c>
      <c r="D144" s="5" t="s">
        <v>63</v>
      </c>
      <c r="E144" s="5">
        <v>2.5042010329E10</v>
      </c>
      <c r="F144" s="5" t="s">
        <v>21</v>
      </c>
      <c r="G144" s="5" t="s">
        <v>408</v>
      </c>
      <c r="H144" s="5">
        <v>6.285733585712E12</v>
      </c>
      <c r="I144" s="5">
        <v>3.0</v>
      </c>
      <c r="J144" s="5" t="s">
        <v>23</v>
      </c>
      <c r="K144" s="5">
        <v>4.0</v>
      </c>
      <c r="L144" s="5">
        <v>4.0</v>
      </c>
      <c r="M144" s="5" t="s">
        <v>64</v>
      </c>
      <c r="N144" s="5" t="s">
        <v>25</v>
      </c>
      <c r="O144" s="5" t="s">
        <v>26</v>
      </c>
      <c r="P144" s="5">
        <v>3.0</v>
      </c>
      <c r="Q144" s="5">
        <v>5.0</v>
      </c>
      <c r="R144" s="5">
        <v>1.0</v>
      </c>
      <c r="V144" s="7" t="str">
        <f t="shared" si="1"/>
        <v>25042</v>
      </c>
      <c r="W144" s="15" t="str">
        <f t="shared" si="2"/>
        <v>4</v>
      </c>
    </row>
    <row r="145" ht="22.5" customHeight="1">
      <c r="A145" s="4">
        <v>45912.42620393519</v>
      </c>
      <c r="B145" s="5" t="s">
        <v>65</v>
      </c>
      <c r="C145" s="5" t="s">
        <v>19</v>
      </c>
      <c r="D145" s="5" t="s">
        <v>66</v>
      </c>
      <c r="E145" s="5">
        <v>2.5042010336E10</v>
      </c>
      <c r="F145" s="5" t="s">
        <v>21</v>
      </c>
      <c r="G145" s="5" t="s">
        <v>22</v>
      </c>
      <c r="H145" s="5">
        <v>6.28560669654E12</v>
      </c>
      <c r="I145" s="5">
        <v>3.0</v>
      </c>
      <c r="J145" s="5" t="s">
        <v>23</v>
      </c>
      <c r="K145" s="5">
        <v>4.0</v>
      </c>
      <c r="L145" s="5">
        <v>4.0</v>
      </c>
      <c r="M145" s="5" t="s">
        <v>64</v>
      </c>
      <c r="N145" s="5" t="s">
        <v>25</v>
      </c>
      <c r="O145" s="5" t="s">
        <v>29</v>
      </c>
      <c r="P145" s="5">
        <v>3.0</v>
      </c>
      <c r="Q145" s="5">
        <v>5.0</v>
      </c>
      <c r="R145" s="5">
        <v>1.0</v>
      </c>
      <c r="V145" s="7" t="str">
        <f t="shared" si="1"/>
        <v>25042</v>
      </c>
      <c r="W145" s="15" t="str">
        <f t="shared" si="2"/>
        <v>4</v>
      </c>
    </row>
    <row r="146" ht="22.5" customHeight="1">
      <c r="A146" s="4">
        <v>45912.42666778935</v>
      </c>
      <c r="B146" s="5" t="s">
        <v>352</v>
      </c>
      <c r="C146" s="5" t="s">
        <v>19</v>
      </c>
      <c r="D146" s="5" t="s">
        <v>353</v>
      </c>
      <c r="E146" s="5">
        <v>2.5083010066E10</v>
      </c>
      <c r="F146" s="5" t="s">
        <v>150</v>
      </c>
      <c r="G146" s="5" t="s">
        <v>267</v>
      </c>
      <c r="H146" s="5">
        <v>6.283115788719E12</v>
      </c>
      <c r="I146" s="5">
        <v>2.0</v>
      </c>
      <c r="J146" s="5" t="s">
        <v>23</v>
      </c>
      <c r="K146" s="5">
        <v>2.0</v>
      </c>
      <c r="L146" s="5">
        <v>2.0</v>
      </c>
      <c r="M146" s="5" t="s">
        <v>49</v>
      </c>
      <c r="N146" s="5" t="s">
        <v>25</v>
      </c>
      <c r="O146" s="5" t="s">
        <v>26</v>
      </c>
      <c r="P146" s="5">
        <v>3.0</v>
      </c>
      <c r="Q146" s="5">
        <v>2.0</v>
      </c>
      <c r="R146" s="5">
        <v>2.0</v>
      </c>
      <c r="V146" s="7" t="str">
        <f t="shared" si="1"/>
        <v>25083</v>
      </c>
      <c r="W146" s="15" t="str">
        <f t="shared" si="2"/>
        <v>8</v>
      </c>
    </row>
    <row r="147" ht="22.5" customHeight="1">
      <c r="A147" s="4">
        <v>45912.427003854165</v>
      </c>
      <c r="B147" s="5" t="s">
        <v>67</v>
      </c>
      <c r="C147" s="5" t="s">
        <v>19</v>
      </c>
      <c r="D147" s="5" t="s">
        <v>68</v>
      </c>
      <c r="E147" s="5">
        <v>2.4042010163E10</v>
      </c>
      <c r="F147" s="5" t="s">
        <v>21</v>
      </c>
      <c r="G147" s="5" t="s">
        <v>22</v>
      </c>
      <c r="H147" s="5">
        <v>6.28999763366E11</v>
      </c>
      <c r="I147" s="5">
        <v>11.0</v>
      </c>
      <c r="J147" s="5" t="s">
        <v>23</v>
      </c>
      <c r="K147" s="5">
        <v>5.0</v>
      </c>
      <c r="L147" s="5">
        <v>5.0</v>
      </c>
      <c r="M147" s="5" t="s">
        <v>64</v>
      </c>
      <c r="N147" s="5" t="s">
        <v>25</v>
      </c>
      <c r="O147" s="5" t="s">
        <v>26</v>
      </c>
      <c r="P147" s="5">
        <v>4.0</v>
      </c>
      <c r="Q147" s="5">
        <v>5.0</v>
      </c>
      <c r="R147" s="5">
        <v>4.0</v>
      </c>
      <c r="V147" s="7" t="str">
        <f t="shared" si="1"/>
        <v>24042</v>
      </c>
      <c r="W147" s="15" t="str">
        <f t="shared" si="2"/>
        <v>4</v>
      </c>
    </row>
    <row r="148" ht="22.5" customHeight="1">
      <c r="A148" s="4">
        <v>45912.42710084491</v>
      </c>
      <c r="B148" s="5" t="s">
        <v>69</v>
      </c>
      <c r="C148" s="5" t="s">
        <v>19</v>
      </c>
      <c r="D148" s="5" t="s">
        <v>70</v>
      </c>
      <c r="E148" s="5">
        <v>2.4042010322E10</v>
      </c>
      <c r="F148" s="5" t="s">
        <v>21</v>
      </c>
      <c r="G148" s="5" t="s">
        <v>22</v>
      </c>
      <c r="H148" s="5">
        <v>6.283845737913E12</v>
      </c>
      <c r="I148" s="5">
        <v>3.0</v>
      </c>
      <c r="J148" s="5" t="s">
        <v>23</v>
      </c>
      <c r="K148" s="5">
        <v>5.0</v>
      </c>
      <c r="L148" s="5">
        <v>5.0</v>
      </c>
      <c r="M148" s="5" t="s">
        <v>49</v>
      </c>
      <c r="N148" s="5" t="s">
        <v>25</v>
      </c>
      <c r="O148" s="5" t="s">
        <v>35</v>
      </c>
      <c r="P148" s="5">
        <v>4.0</v>
      </c>
      <c r="Q148" s="5">
        <v>4.0</v>
      </c>
      <c r="R148" s="5">
        <v>2.0</v>
      </c>
      <c r="V148" s="7" t="str">
        <f t="shared" si="1"/>
        <v>24042</v>
      </c>
      <c r="W148" s="15" t="str">
        <f t="shared" si="2"/>
        <v>4</v>
      </c>
    </row>
    <row r="149" ht="22.5" customHeight="1">
      <c r="A149" s="4">
        <v>45912.43084166667</v>
      </c>
      <c r="B149" s="5" t="s">
        <v>225</v>
      </c>
      <c r="C149" s="5" t="s">
        <v>19</v>
      </c>
      <c r="D149" s="5" t="s">
        <v>226</v>
      </c>
      <c r="E149" s="5">
        <v>2.5043010053E10</v>
      </c>
      <c r="F149" s="5" t="s">
        <v>21</v>
      </c>
      <c r="G149" s="5" t="s">
        <v>179</v>
      </c>
      <c r="H149" s="5">
        <v>6.285655158661E12</v>
      </c>
      <c r="I149" s="5">
        <v>2.0</v>
      </c>
      <c r="J149" s="5" t="s">
        <v>34</v>
      </c>
      <c r="K149" s="5">
        <v>6.0</v>
      </c>
      <c r="L149" s="5">
        <v>5.0</v>
      </c>
      <c r="M149" s="5" t="s">
        <v>24</v>
      </c>
      <c r="N149" s="5" t="s">
        <v>25</v>
      </c>
      <c r="O149" s="5" t="s">
        <v>26</v>
      </c>
      <c r="P149" s="5">
        <v>5.0</v>
      </c>
      <c r="Q149" s="5">
        <v>5.0</v>
      </c>
      <c r="R149" s="5">
        <v>4.0</v>
      </c>
      <c r="V149" s="7" t="str">
        <f t="shared" si="1"/>
        <v>25043</v>
      </c>
      <c r="W149" s="15" t="str">
        <f t="shared" si="2"/>
        <v>4</v>
      </c>
    </row>
    <row r="150" ht="22.5" customHeight="1">
      <c r="A150" s="4">
        <v>45912.43146237268</v>
      </c>
      <c r="B150" s="5" t="s">
        <v>227</v>
      </c>
      <c r="C150" s="5" t="s">
        <v>19</v>
      </c>
      <c r="D150" s="5" t="s">
        <v>228</v>
      </c>
      <c r="E150" s="5">
        <v>2.5043010056E10</v>
      </c>
      <c r="F150" s="5" t="s">
        <v>21</v>
      </c>
      <c r="G150" s="5" t="s">
        <v>179</v>
      </c>
      <c r="H150" s="5">
        <v>6.28572542992E11</v>
      </c>
      <c r="I150" s="5">
        <v>3.0</v>
      </c>
      <c r="J150" s="5" t="s">
        <v>23</v>
      </c>
      <c r="K150" s="5">
        <v>4.0</v>
      </c>
      <c r="L150" s="5">
        <v>2.0</v>
      </c>
      <c r="M150" s="5" t="s">
        <v>64</v>
      </c>
      <c r="N150" s="5" t="s">
        <v>25</v>
      </c>
      <c r="O150" s="5" t="s">
        <v>29</v>
      </c>
      <c r="P150" s="5">
        <v>4.0</v>
      </c>
      <c r="Q150" s="5">
        <v>4.0</v>
      </c>
      <c r="R150" s="5">
        <v>3.0</v>
      </c>
      <c r="V150" s="7" t="str">
        <f t="shared" si="1"/>
        <v>25043</v>
      </c>
      <c r="W150" s="15" t="str">
        <f t="shared" si="2"/>
        <v>4</v>
      </c>
    </row>
    <row r="151" ht="22.5" customHeight="1">
      <c r="A151" s="4">
        <v>45912.43146633102</v>
      </c>
      <c r="B151" s="5" t="s">
        <v>229</v>
      </c>
      <c r="C151" s="5" t="s">
        <v>19</v>
      </c>
      <c r="D151" s="5" t="s">
        <v>230</v>
      </c>
      <c r="E151" s="5">
        <v>2.504301004E10</v>
      </c>
      <c r="F151" s="5" t="s">
        <v>21</v>
      </c>
      <c r="G151" s="5" t="s">
        <v>179</v>
      </c>
      <c r="H151" s="5">
        <v>6.285730665761E12</v>
      </c>
      <c r="I151" s="5">
        <v>2.0</v>
      </c>
      <c r="J151" s="5" t="s">
        <v>23</v>
      </c>
      <c r="K151" s="5">
        <v>5.0</v>
      </c>
      <c r="L151" s="5">
        <v>1.0</v>
      </c>
      <c r="M151" s="5" t="s">
        <v>46</v>
      </c>
      <c r="N151" s="5" t="s">
        <v>25</v>
      </c>
      <c r="O151" s="5" t="s">
        <v>35</v>
      </c>
      <c r="P151" s="5">
        <v>2.0</v>
      </c>
      <c r="Q151" s="5">
        <v>2.0</v>
      </c>
      <c r="R151" s="5">
        <v>5.0</v>
      </c>
      <c r="V151" s="7" t="str">
        <f t="shared" si="1"/>
        <v>25043</v>
      </c>
      <c r="W151" s="15" t="str">
        <f t="shared" si="2"/>
        <v>4</v>
      </c>
    </row>
    <row r="152" ht="22.5" customHeight="1">
      <c r="A152" s="4">
        <v>45912.43149074074</v>
      </c>
      <c r="B152" s="5" t="s">
        <v>231</v>
      </c>
      <c r="C152" s="5" t="s">
        <v>19</v>
      </c>
      <c r="D152" s="5" t="s">
        <v>232</v>
      </c>
      <c r="E152" s="5">
        <v>2.5043010043E10</v>
      </c>
      <c r="F152" s="5" t="s">
        <v>21</v>
      </c>
      <c r="G152" s="5" t="s">
        <v>179</v>
      </c>
      <c r="H152" s="5">
        <v>6.285815954309E12</v>
      </c>
      <c r="I152" s="5">
        <v>4.0</v>
      </c>
      <c r="J152" s="5" t="s">
        <v>23</v>
      </c>
      <c r="K152" s="5">
        <v>3.0</v>
      </c>
      <c r="L152" s="5">
        <v>2.0</v>
      </c>
      <c r="M152" s="5" t="s">
        <v>49</v>
      </c>
      <c r="N152" s="5" t="s">
        <v>25</v>
      </c>
      <c r="O152" s="5" t="s">
        <v>26</v>
      </c>
      <c r="P152" s="5">
        <v>4.0</v>
      </c>
      <c r="Q152" s="5">
        <v>4.0</v>
      </c>
      <c r="R152" s="5">
        <v>4.0</v>
      </c>
      <c r="V152" s="7" t="str">
        <f t="shared" si="1"/>
        <v>25043</v>
      </c>
      <c r="W152" s="15" t="str">
        <f t="shared" si="2"/>
        <v>4</v>
      </c>
    </row>
    <row r="153" ht="22.5" customHeight="1">
      <c r="A153" s="4">
        <v>45912.43190027778</v>
      </c>
      <c r="B153" s="5" t="s">
        <v>233</v>
      </c>
      <c r="C153" s="5" t="s">
        <v>19</v>
      </c>
      <c r="D153" s="5" t="s">
        <v>234</v>
      </c>
      <c r="E153" s="5">
        <v>2.5043010032E10</v>
      </c>
      <c r="F153" s="5" t="s">
        <v>21</v>
      </c>
      <c r="G153" s="5" t="s">
        <v>409</v>
      </c>
      <c r="H153" s="5">
        <v>6.285808734542E12</v>
      </c>
      <c r="I153" s="5">
        <v>2.0</v>
      </c>
      <c r="J153" s="5" t="s">
        <v>34</v>
      </c>
      <c r="K153" s="5">
        <v>5.0</v>
      </c>
      <c r="L153" s="5">
        <v>7.0</v>
      </c>
      <c r="M153" s="5" t="s">
        <v>64</v>
      </c>
      <c r="N153" s="5" t="s">
        <v>25</v>
      </c>
      <c r="O153" s="5" t="s">
        <v>35</v>
      </c>
      <c r="P153" s="5">
        <v>4.0</v>
      </c>
      <c r="Q153" s="5">
        <v>5.0</v>
      </c>
      <c r="R153" s="5">
        <v>5.0</v>
      </c>
      <c r="V153" s="7" t="str">
        <f t="shared" si="1"/>
        <v>25043</v>
      </c>
      <c r="W153" s="15" t="str">
        <f t="shared" si="2"/>
        <v>4</v>
      </c>
    </row>
    <row r="154" ht="22.5" customHeight="1">
      <c r="A154" s="4">
        <v>45912.43379173611</v>
      </c>
      <c r="B154" s="5" t="s">
        <v>71</v>
      </c>
      <c r="C154" s="5" t="s">
        <v>19</v>
      </c>
      <c r="D154" s="5" t="s">
        <v>72</v>
      </c>
      <c r="E154" s="5">
        <v>2.5042010326E10</v>
      </c>
      <c r="F154" s="5" t="s">
        <v>21</v>
      </c>
      <c r="G154" s="5" t="s">
        <v>22</v>
      </c>
      <c r="H154" s="5">
        <v>6.2895333338999E13</v>
      </c>
      <c r="I154" s="5">
        <v>6.0</v>
      </c>
      <c r="J154" s="5" t="s">
        <v>34</v>
      </c>
      <c r="K154" s="5">
        <v>5.0</v>
      </c>
      <c r="L154" s="5">
        <v>4.0</v>
      </c>
      <c r="M154" s="5" t="s">
        <v>64</v>
      </c>
      <c r="N154" s="5" t="s">
        <v>25</v>
      </c>
      <c r="O154" s="5" t="s">
        <v>26</v>
      </c>
      <c r="P154" s="5">
        <v>3.0</v>
      </c>
      <c r="Q154" s="5">
        <v>3.0</v>
      </c>
      <c r="R154" s="5">
        <v>1.0</v>
      </c>
      <c r="V154" s="7" t="str">
        <f t="shared" si="1"/>
        <v>25042</v>
      </c>
      <c r="W154" s="15" t="str">
        <f t="shared" si="2"/>
        <v>4</v>
      </c>
    </row>
    <row r="155" ht="22.5" customHeight="1">
      <c r="A155" s="4">
        <v>45912.4338969213</v>
      </c>
      <c r="B155" s="5" t="s">
        <v>73</v>
      </c>
      <c r="C155" s="5" t="s">
        <v>19</v>
      </c>
      <c r="D155" s="5" t="s">
        <v>74</v>
      </c>
      <c r="E155" s="5">
        <v>2.5042010274E10</v>
      </c>
      <c r="F155" s="5" t="s">
        <v>21</v>
      </c>
      <c r="G155" s="5" t="s">
        <v>22</v>
      </c>
      <c r="H155" s="5">
        <v>6.285933685411E12</v>
      </c>
      <c r="I155" s="5">
        <v>5.0</v>
      </c>
      <c r="J155" s="5" t="s">
        <v>23</v>
      </c>
      <c r="K155" s="5">
        <v>5.0</v>
      </c>
      <c r="L155" s="5">
        <v>5.0</v>
      </c>
      <c r="M155" s="5" t="s">
        <v>49</v>
      </c>
      <c r="N155" s="5" t="s">
        <v>25</v>
      </c>
      <c r="O155" s="5" t="s">
        <v>29</v>
      </c>
      <c r="P155" s="5">
        <v>4.0</v>
      </c>
      <c r="Q155" s="5">
        <v>4.0</v>
      </c>
      <c r="R155" s="5">
        <v>5.0</v>
      </c>
      <c r="V155" s="7" t="str">
        <f t="shared" si="1"/>
        <v>25042</v>
      </c>
      <c r="W155" s="15" t="str">
        <f t="shared" si="2"/>
        <v>4</v>
      </c>
    </row>
    <row r="156" ht="22.5" customHeight="1">
      <c r="A156" s="4">
        <v>45912.43405236111</v>
      </c>
      <c r="B156" s="5" t="s">
        <v>75</v>
      </c>
      <c r="C156" s="5" t="s">
        <v>19</v>
      </c>
      <c r="D156" s="5" t="s">
        <v>76</v>
      </c>
      <c r="E156" s="5">
        <v>2.5042010093E10</v>
      </c>
      <c r="F156" s="5" t="s">
        <v>21</v>
      </c>
      <c r="G156" s="5" t="s">
        <v>22</v>
      </c>
      <c r="H156" s="5">
        <v>6.287785160344E12</v>
      </c>
      <c r="I156" s="5">
        <v>2.0</v>
      </c>
      <c r="J156" s="5" t="s">
        <v>34</v>
      </c>
      <c r="K156" s="5">
        <v>5.0</v>
      </c>
      <c r="L156" s="5">
        <v>5.0</v>
      </c>
      <c r="M156" s="5" t="s">
        <v>49</v>
      </c>
      <c r="N156" s="5" t="s">
        <v>19</v>
      </c>
      <c r="O156" s="5" t="s">
        <v>26</v>
      </c>
      <c r="P156" s="5">
        <v>5.0</v>
      </c>
      <c r="Q156" s="5">
        <v>5.0</v>
      </c>
      <c r="R156" s="5">
        <v>3.0</v>
      </c>
      <c r="V156" s="7" t="str">
        <f t="shared" si="1"/>
        <v>25042</v>
      </c>
      <c r="W156" s="15" t="str">
        <f t="shared" si="2"/>
        <v>4</v>
      </c>
    </row>
    <row r="157" ht="22.5" customHeight="1">
      <c r="A157" s="4">
        <v>45912.43422618056</v>
      </c>
      <c r="B157" s="5" t="s">
        <v>77</v>
      </c>
      <c r="C157" s="5" t="s">
        <v>19</v>
      </c>
      <c r="D157" s="5" t="s">
        <v>78</v>
      </c>
      <c r="E157" s="5">
        <v>2.5042010027E10</v>
      </c>
      <c r="F157" s="5" t="s">
        <v>21</v>
      </c>
      <c r="G157" s="5" t="s">
        <v>408</v>
      </c>
      <c r="H157" s="5">
        <v>6.2882009850652E13</v>
      </c>
      <c r="I157" s="5">
        <v>6.0</v>
      </c>
      <c r="J157" s="5" t="s">
        <v>34</v>
      </c>
      <c r="K157" s="5">
        <v>5.0</v>
      </c>
      <c r="L157" s="5">
        <v>5.0</v>
      </c>
      <c r="M157" s="5" t="s">
        <v>64</v>
      </c>
      <c r="N157" s="5" t="s">
        <v>25</v>
      </c>
      <c r="O157" s="5" t="s">
        <v>26</v>
      </c>
      <c r="P157" s="5">
        <v>5.0</v>
      </c>
      <c r="Q157" s="5">
        <v>5.0</v>
      </c>
      <c r="R157" s="5">
        <v>4.0</v>
      </c>
      <c r="V157" s="7" t="str">
        <f t="shared" si="1"/>
        <v>25042</v>
      </c>
      <c r="W157" s="15" t="str">
        <f t="shared" si="2"/>
        <v>4</v>
      </c>
    </row>
    <row r="158" ht="22.5" customHeight="1">
      <c r="A158" s="4">
        <v>45912.43469548611</v>
      </c>
      <c r="B158" s="5" t="s">
        <v>79</v>
      </c>
      <c r="C158" s="5" t="s">
        <v>19</v>
      </c>
      <c r="D158" s="5" t="s">
        <v>80</v>
      </c>
      <c r="E158" s="5">
        <v>2.504201016E10</v>
      </c>
      <c r="F158" s="5" t="s">
        <v>21</v>
      </c>
      <c r="G158" s="5" t="s">
        <v>408</v>
      </c>
      <c r="H158" s="5">
        <v>6.282327335824E12</v>
      </c>
      <c r="I158" s="5">
        <v>4.0</v>
      </c>
      <c r="J158" s="5" t="s">
        <v>23</v>
      </c>
      <c r="K158" s="5">
        <v>1.0</v>
      </c>
      <c r="L158" s="5">
        <v>1.0</v>
      </c>
      <c r="M158" s="5" t="s">
        <v>24</v>
      </c>
      <c r="N158" s="5" t="s">
        <v>25</v>
      </c>
      <c r="O158" s="5" t="s">
        <v>26</v>
      </c>
      <c r="P158" s="5">
        <v>5.0</v>
      </c>
      <c r="Q158" s="5">
        <v>5.0</v>
      </c>
      <c r="R158" s="5">
        <v>4.0</v>
      </c>
      <c r="V158" s="7" t="str">
        <f t="shared" si="1"/>
        <v>25042</v>
      </c>
      <c r="W158" s="15" t="str">
        <f t="shared" si="2"/>
        <v>4</v>
      </c>
    </row>
    <row r="159" ht="22.5" customHeight="1">
      <c r="A159" s="4">
        <v>45912.43490232639</v>
      </c>
      <c r="B159" s="5" t="s">
        <v>81</v>
      </c>
      <c r="C159" s="5" t="s">
        <v>19</v>
      </c>
      <c r="D159" s="5" t="s">
        <v>82</v>
      </c>
      <c r="E159" s="5">
        <v>2.5042010015E10</v>
      </c>
      <c r="F159" s="5" t="s">
        <v>21</v>
      </c>
      <c r="G159" s="5" t="s">
        <v>22</v>
      </c>
      <c r="H159" s="5">
        <v>6.282146463144E12</v>
      </c>
      <c r="I159" s="5">
        <v>5.0</v>
      </c>
      <c r="J159" s="5" t="s">
        <v>34</v>
      </c>
      <c r="K159" s="5">
        <v>5.0</v>
      </c>
      <c r="L159" s="5">
        <v>4.0</v>
      </c>
      <c r="M159" s="5" t="s">
        <v>64</v>
      </c>
      <c r="N159" s="5" t="s">
        <v>25</v>
      </c>
      <c r="O159" s="5" t="s">
        <v>29</v>
      </c>
      <c r="P159" s="5">
        <v>2.0</v>
      </c>
      <c r="Q159" s="5">
        <v>2.0</v>
      </c>
      <c r="R159" s="5">
        <v>3.0</v>
      </c>
      <c r="V159" s="7" t="str">
        <f t="shared" si="1"/>
        <v>25042</v>
      </c>
      <c r="W159" s="15" t="str">
        <f t="shared" si="2"/>
        <v>4</v>
      </c>
    </row>
    <row r="160" ht="22.5" customHeight="1">
      <c r="A160" s="4">
        <v>45912.4372768287</v>
      </c>
      <c r="B160" s="5" t="s">
        <v>94</v>
      </c>
      <c r="C160" s="5" t="s">
        <v>19</v>
      </c>
      <c r="D160" s="5" t="s">
        <v>95</v>
      </c>
      <c r="E160" s="5">
        <v>2.5041010291E10</v>
      </c>
      <c r="F160" s="5" t="s">
        <v>21</v>
      </c>
      <c r="G160" s="5" t="s">
        <v>85</v>
      </c>
      <c r="H160" s="5">
        <v>6.283121039108E12</v>
      </c>
      <c r="I160" s="5">
        <v>6.0</v>
      </c>
      <c r="J160" s="5" t="s">
        <v>96</v>
      </c>
      <c r="K160" s="5">
        <v>1.0</v>
      </c>
      <c r="L160" s="5">
        <v>1.0</v>
      </c>
      <c r="M160" s="5" t="s">
        <v>46</v>
      </c>
      <c r="N160" s="5" t="s">
        <v>25</v>
      </c>
      <c r="O160" s="5" t="s">
        <v>26</v>
      </c>
      <c r="P160" s="5">
        <v>5.0</v>
      </c>
      <c r="Q160" s="5">
        <v>5.0</v>
      </c>
      <c r="R160" s="5">
        <v>2.0</v>
      </c>
      <c r="V160" s="7" t="str">
        <f t="shared" si="1"/>
        <v>25041</v>
      </c>
      <c r="W160" s="15" t="str">
        <f t="shared" si="2"/>
        <v>4</v>
      </c>
    </row>
    <row r="161" ht="22.5" customHeight="1">
      <c r="A161" s="4">
        <v>45912.4387128125</v>
      </c>
      <c r="B161" s="5" t="s">
        <v>97</v>
      </c>
      <c r="C161" s="5" t="s">
        <v>19</v>
      </c>
      <c r="D161" s="5" t="s">
        <v>98</v>
      </c>
      <c r="E161" s="5">
        <v>2.5041010271E10</v>
      </c>
      <c r="F161" s="5" t="s">
        <v>21</v>
      </c>
      <c r="G161" s="5" t="s">
        <v>85</v>
      </c>
      <c r="H161" s="5">
        <v>6.281333508417E12</v>
      </c>
      <c r="I161" s="5">
        <v>7.0</v>
      </c>
      <c r="J161" s="5" t="s">
        <v>23</v>
      </c>
      <c r="K161" s="5">
        <v>3.0</v>
      </c>
      <c r="L161" s="5">
        <v>2.0</v>
      </c>
      <c r="M161" s="5" t="s">
        <v>49</v>
      </c>
      <c r="N161" s="5" t="s">
        <v>25</v>
      </c>
      <c r="O161" s="5" t="s">
        <v>29</v>
      </c>
      <c r="P161" s="5">
        <v>1.0</v>
      </c>
      <c r="Q161" s="5">
        <v>1.0</v>
      </c>
      <c r="R161" s="5">
        <v>2.0</v>
      </c>
      <c r="V161" s="7" t="str">
        <f t="shared" si="1"/>
        <v>25041</v>
      </c>
      <c r="W161" s="15" t="str">
        <f t="shared" si="2"/>
        <v>4</v>
      </c>
    </row>
    <row r="162" ht="22.5" customHeight="1">
      <c r="A162" s="16">
        <v>45912.63845585648</v>
      </c>
      <c r="B162" s="17" t="s">
        <v>258</v>
      </c>
      <c r="C162" s="17" t="s">
        <v>25</v>
      </c>
      <c r="D162" s="17" t="s">
        <v>259</v>
      </c>
      <c r="E162" s="17">
        <v>2.4081010328E10</v>
      </c>
      <c r="F162" s="17" t="s">
        <v>150</v>
      </c>
      <c r="G162" s="17" t="s">
        <v>241</v>
      </c>
      <c r="H162" s="17">
        <v>6.281553389237E12</v>
      </c>
      <c r="I162" s="17">
        <v>3.0</v>
      </c>
      <c r="J162" s="17" t="s">
        <v>23</v>
      </c>
      <c r="K162" s="17">
        <v>4.0</v>
      </c>
      <c r="L162" s="17">
        <v>2.0</v>
      </c>
      <c r="M162" s="17" t="s">
        <v>49</v>
      </c>
      <c r="N162" s="17" t="s">
        <v>25</v>
      </c>
      <c r="O162" s="17" t="s">
        <v>26</v>
      </c>
      <c r="P162" s="17">
        <v>5.0</v>
      </c>
      <c r="Q162" s="17">
        <v>5.0</v>
      </c>
      <c r="R162" s="17">
        <v>1.0</v>
      </c>
      <c r="V162" s="7" t="str">
        <f t="shared" si="1"/>
        <v>24081</v>
      </c>
      <c r="W162" s="15" t="str">
        <f t="shared" si="2"/>
        <v>8</v>
      </c>
    </row>
    <row r="163" ht="22.5" customHeight="1">
      <c r="A163" s="4">
        <v>45912.90707188657</v>
      </c>
      <c r="B163" s="5" t="s">
        <v>235</v>
      </c>
      <c r="C163" s="5" t="s">
        <v>19</v>
      </c>
      <c r="D163" s="5" t="s">
        <v>236</v>
      </c>
      <c r="E163" s="5">
        <v>2.4043010281E10</v>
      </c>
      <c r="F163" s="5" t="s">
        <v>21</v>
      </c>
      <c r="G163" s="5" t="s">
        <v>179</v>
      </c>
      <c r="H163" s="5">
        <v>6.281515496802E12</v>
      </c>
      <c r="I163" s="5">
        <v>8.0</v>
      </c>
      <c r="J163" s="5" t="s">
        <v>23</v>
      </c>
      <c r="K163" s="5">
        <v>5.0</v>
      </c>
      <c r="L163" s="5">
        <v>4.0</v>
      </c>
      <c r="M163" s="5" t="s">
        <v>49</v>
      </c>
      <c r="N163" s="5" t="s">
        <v>25</v>
      </c>
      <c r="O163" s="5" t="s">
        <v>26</v>
      </c>
      <c r="P163" s="5">
        <v>2.0</v>
      </c>
      <c r="Q163" s="5">
        <v>1.0</v>
      </c>
      <c r="R163" s="5">
        <v>2.0</v>
      </c>
      <c r="V163" s="7" t="str">
        <f t="shared" si="1"/>
        <v>24043</v>
      </c>
      <c r="W163" s="15" t="str">
        <f t="shared" si="2"/>
        <v>4</v>
      </c>
    </row>
    <row r="164" ht="22.5" customHeight="1">
      <c r="A164" s="4">
        <v>45912.988684537035</v>
      </c>
      <c r="B164" s="5" t="s">
        <v>175</v>
      </c>
      <c r="C164" s="5" t="s">
        <v>19</v>
      </c>
      <c r="D164" s="5" t="s">
        <v>176</v>
      </c>
      <c r="E164" s="5">
        <v>2.4071010331E10</v>
      </c>
      <c r="F164" s="5" t="s">
        <v>169</v>
      </c>
      <c r="G164" s="5" t="s">
        <v>170</v>
      </c>
      <c r="H164" s="5">
        <v>6.285175081105E12</v>
      </c>
      <c r="I164" s="5">
        <v>4.0</v>
      </c>
      <c r="J164" s="5" t="s">
        <v>23</v>
      </c>
      <c r="K164" s="5">
        <v>4.0</v>
      </c>
      <c r="L164" s="5">
        <v>1.0</v>
      </c>
      <c r="M164" s="5" t="s">
        <v>64</v>
      </c>
      <c r="N164" s="5" t="s">
        <v>25</v>
      </c>
      <c r="O164" s="5" t="s">
        <v>26</v>
      </c>
      <c r="P164" s="5">
        <v>5.0</v>
      </c>
      <c r="Q164" s="5">
        <v>5.0</v>
      </c>
      <c r="R164" s="5">
        <v>2.0</v>
      </c>
      <c r="V164" s="7" t="str">
        <f t="shared" si="1"/>
        <v>24071</v>
      </c>
      <c r="W164" s="15" t="str">
        <f t="shared" si="2"/>
        <v>7</v>
      </c>
    </row>
    <row r="165" ht="22.5" customHeight="1">
      <c r="A165" s="4">
        <v>45913.40407131944</v>
      </c>
      <c r="B165" s="5" t="s">
        <v>354</v>
      </c>
      <c r="C165" s="5" t="s">
        <v>19</v>
      </c>
      <c r="D165" s="5" t="s">
        <v>355</v>
      </c>
      <c r="E165" s="5">
        <v>2.4083010038E10</v>
      </c>
      <c r="F165" s="5" t="s">
        <v>150</v>
      </c>
      <c r="G165" s="5" t="s">
        <v>267</v>
      </c>
      <c r="H165" s="5">
        <v>6.285646432524E12</v>
      </c>
      <c r="I165" s="5">
        <v>2.0</v>
      </c>
      <c r="J165" s="5" t="s">
        <v>23</v>
      </c>
      <c r="K165" s="5">
        <v>1.0</v>
      </c>
      <c r="L165" s="5">
        <v>3.0</v>
      </c>
      <c r="M165" s="5" t="s">
        <v>64</v>
      </c>
      <c r="N165" s="5" t="s">
        <v>25</v>
      </c>
      <c r="O165" s="5" t="s">
        <v>29</v>
      </c>
      <c r="P165" s="5">
        <v>3.0</v>
      </c>
      <c r="Q165" s="5">
        <v>4.0</v>
      </c>
      <c r="R165" s="5">
        <v>3.0</v>
      </c>
      <c r="V165" s="7" t="str">
        <f t="shared" si="1"/>
        <v>24083</v>
      </c>
      <c r="W165" s="15" t="str">
        <f t="shared" si="2"/>
        <v>8</v>
      </c>
    </row>
    <row r="166" ht="22.5" customHeight="1">
      <c r="A166" s="4">
        <v>45913.986949432874</v>
      </c>
      <c r="B166" s="5" t="s">
        <v>356</v>
      </c>
      <c r="C166" s="5" t="s">
        <v>19</v>
      </c>
      <c r="D166" s="5" t="s">
        <v>357</v>
      </c>
      <c r="E166" s="5">
        <v>2.4083010037E10</v>
      </c>
      <c r="F166" s="5" t="s">
        <v>150</v>
      </c>
      <c r="G166" s="5" t="s">
        <v>430</v>
      </c>
      <c r="H166" s="5">
        <v>6.285761127382E12</v>
      </c>
      <c r="I166" s="5">
        <v>4.0</v>
      </c>
      <c r="J166" s="5" t="s">
        <v>96</v>
      </c>
      <c r="K166" s="5">
        <v>6.0</v>
      </c>
      <c r="L166" s="5">
        <v>7.0</v>
      </c>
      <c r="M166" s="5" t="s">
        <v>46</v>
      </c>
      <c r="N166" s="5" t="s">
        <v>25</v>
      </c>
      <c r="O166" s="5" t="s">
        <v>35</v>
      </c>
      <c r="P166" s="5">
        <v>4.0</v>
      </c>
      <c r="Q166" s="5">
        <v>3.0</v>
      </c>
      <c r="R166" s="5">
        <v>5.0</v>
      </c>
      <c r="V166" s="7" t="str">
        <f t="shared" si="1"/>
        <v>24083</v>
      </c>
      <c r="W166" s="15" t="str">
        <f t="shared" si="2"/>
        <v>8</v>
      </c>
    </row>
    <row r="167" ht="22.5" customHeight="1">
      <c r="A167" s="4">
        <v>45914.54735811343</v>
      </c>
      <c r="B167" s="5" t="s">
        <v>358</v>
      </c>
      <c r="C167" s="5" t="s">
        <v>19</v>
      </c>
      <c r="D167" s="5" t="s">
        <v>359</v>
      </c>
      <c r="E167" s="5">
        <v>2.4083010071E10</v>
      </c>
      <c r="F167" s="5" t="s">
        <v>150</v>
      </c>
      <c r="G167" s="5" t="s">
        <v>267</v>
      </c>
      <c r="H167" s="5">
        <v>6.281357561927E12</v>
      </c>
      <c r="I167" s="5">
        <v>10.0</v>
      </c>
      <c r="J167" s="5" t="s">
        <v>23</v>
      </c>
      <c r="K167" s="5">
        <v>4.0</v>
      </c>
      <c r="L167" s="5">
        <v>2.0</v>
      </c>
      <c r="M167" s="5" t="s">
        <v>24</v>
      </c>
      <c r="N167" s="5" t="s">
        <v>25</v>
      </c>
      <c r="O167" s="5" t="s">
        <v>35</v>
      </c>
      <c r="P167" s="5">
        <v>4.0</v>
      </c>
      <c r="Q167" s="5">
        <v>3.0</v>
      </c>
      <c r="R167" s="5">
        <v>2.0</v>
      </c>
      <c r="V167" s="7" t="str">
        <f t="shared" si="1"/>
        <v>24083</v>
      </c>
      <c r="W167" s="15" t="str">
        <f t="shared" si="2"/>
        <v>8</v>
      </c>
    </row>
    <row r="168" ht="22.5" customHeight="1">
      <c r="A168" s="4">
        <v>45916.01322641203</v>
      </c>
      <c r="B168" s="5" t="s">
        <v>237</v>
      </c>
      <c r="C168" s="5" t="s">
        <v>19</v>
      </c>
      <c r="D168" s="5" t="s">
        <v>238</v>
      </c>
      <c r="E168" s="5">
        <v>2.4043010062E10</v>
      </c>
      <c r="F168" s="5" t="s">
        <v>21</v>
      </c>
      <c r="G168" s="5" t="s">
        <v>179</v>
      </c>
      <c r="H168" s="5">
        <v>6.285655971853E12</v>
      </c>
      <c r="I168" s="5">
        <v>15.0</v>
      </c>
      <c r="J168" s="5" t="s">
        <v>23</v>
      </c>
      <c r="K168" s="5">
        <v>4.0</v>
      </c>
      <c r="L168" s="5">
        <v>4.0</v>
      </c>
      <c r="M168" s="5" t="s">
        <v>49</v>
      </c>
      <c r="N168" s="5" t="s">
        <v>25</v>
      </c>
      <c r="O168" s="5" t="s">
        <v>35</v>
      </c>
      <c r="P168" s="5">
        <v>4.0</v>
      </c>
      <c r="Q168" s="5">
        <v>3.0</v>
      </c>
      <c r="R168" s="5">
        <v>2.0</v>
      </c>
      <c r="V168" s="7" t="str">
        <f t="shared" si="1"/>
        <v>24043</v>
      </c>
      <c r="W168" s="15" t="str">
        <f t="shared" si="2"/>
        <v>4</v>
      </c>
    </row>
    <row r="169">
      <c r="I169" s="8"/>
      <c r="K169" s="8"/>
      <c r="L169" s="8"/>
      <c r="P169" s="8"/>
      <c r="Q169" s="8"/>
      <c r="R169" s="8"/>
      <c r="U169" s="8"/>
      <c r="V169" s="7" t="str">
        <f t="shared" si="1"/>
        <v/>
      </c>
      <c r="W169" s="15" t="str">
        <f t="shared" si="2"/>
        <v/>
      </c>
    </row>
    <row r="170">
      <c r="H170" s="14"/>
      <c r="I170" s="8"/>
      <c r="K170" s="8"/>
      <c r="L170" s="8"/>
      <c r="P170" s="8"/>
      <c r="Q170" s="8"/>
      <c r="R170" s="8"/>
      <c r="U170" s="8"/>
      <c r="V170" s="7" t="str">
        <f t="shared" si="1"/>
        <v/>
      </c>
      <c r="W170" s="15" t="str">
        <f t="shared" si="2"/>
        <v/>
      </c>
    </row>
    <row r="171">
      <c r="I171" s="8"/>
      <c r="K171" s="8"/>
      <c r="L171" s="8"/>
      <c r="P171" s="8"/>
      <c r="Q171" s="8"/>
      <c r="R171" s="8"/>
      <c r="U171" s="8"/>
      <c r="V171" s="7" t="str">
        <f t="shared" si="1"/>
        <v/>
      </c>
      <c r="W171" s="15" t="str">
        <f t="shared" si="2"/>
        <v/>
      </c>
    </row>
    <row r="172">
      <c r="I172" s="8"/>
      <c r="K172" s="8"/>
      <c r="L172" s="8"/>
      <c r="P172" s="8"/>
      <c r="Q172" s="8"/>
      <c r="R172" s="8"/>
      <c r="U172" s="8"/>
      <c r="V172" s="7" t="str">
        <f t="shared" si="1"/>
        <v/>
      </c>
      <c r="W172" s="15" t="str">
        <f t="shared" si="2"/>
        <v/>
      </c>
    </row>
    <row r="173">
      <c r="I173" s="8"/>
      <c r="K173" s="8"/>
      <c r="L173" s="8"/>
      <c r="P173" s="8"/>
      <c r="Q173" s="8"/>
      <c r="R173" s="8"/>
      <c r="U173" s="8"/>
      <c r="V173" s="7" t="str">
        <f t="shared" si="1"/>
        <v/>
      </c>
      <c r="W173" s="15" t="str">
        <f t="shared" si="2"/>
        <v/>
      </c>
    </row>
    <row r="174">
      <c r="I174" s="8"/>
      <c r="K174" s="8"/>
      <c r="L174" s="8"/>
      <c r="P174" s="8"/>
      <c r="Q174" s="8"/>
      <c r="R174" s="8"/>
      <c r="U174" s="8"/>
      <c r="V174" s="7" t="str">
        <f t="shared" si="1"/>
        <v/>
      </c>
      <c r="W174" s="15" t="str">
        <f t="shared" si="2"/>
        <v/>
      </c>
    </row>
    <row r="175">
      <c r="I175" s="8"/>
      <c r="K175" s="8"/>
      <c r="L175" s="8"/>
      <c r="P175" s="8"/>
      <c r="Q175" s="8"/>
      <c r="R175" s="8"/>
      <c r="U175" s="8"/>
      <c r="V175" s="7" t="str">
        <f t="shared" si="1"/>
        <v/>
      </c>
      <c r="W175" s="15" t="str">
        <f t="shared" si="2"/>
        <v/>
      </c>
    </row>
    <row r="176">
      <c r="I176" s="8"/>
      <c r="K176" s="8"/>
      <c r="L176" s="8"/>
      <c r="P176" s="8"/>
      <c r="Q176" s="8"/>
      <c r="R176" s="8"/>
      <c r="U176" s="8"/>
      <c r="V176" s="7" t="str">
        <f t="shared" si="1"/>
        <v/>
      </c>
      <c r="W176" s="15" t="str">
        <f t="shared" si="2"/>
        <v/>
      </c>
    </row>
    <row r="177">
      <c r="I177" s="8"/>
      <c r="K177" s="8"/>
      <c r="L177" s="8"/>
      <c r="P177" s="8"/>
      <c r="Q177" s="8"/>
      <c r="R177" s="8"/>
      <c r="U177" s="8"/>
      <c r="V177" s="7" t="str">
        <f t="shared" si="1"/>
        <v/>
      </c>
      <c r="W177" s="15" t="str">
        <f t="shared" si="2"/>
        <v/>
      </c>
    </row>
    <row r="178">
      <c r="I178" s="8"/>
      <c r="K178" s="8"/>
      <c r="L178" s="8"/>
      <c r="P178" s="8"/>
      <c r="Q178" s="8"/>
      <c r="R178" s="8"/>
      <c r="U178" s="8"/>
      <c r="V178" s="7" t="str">
        <f t="shared" si="1"/>
        <v/>
      </c>
      <c r="W178" s="15" t="str">
        <f t="shared" si="2"/>
        <v/>
      </c>
    </row>
    <row r="179">
      <c r="I179" s="8"/>
      <c r="K179" s="8"/>
      <c r="L179" s="8"/>
      <c r="P179" s="8"/>
      <c r="Q179" s="8"/>
      <c r="R179" s="8"/>
      <c r="U179" s="8"/>
      <c r="V179" s="7" t="str">
        <f t="shared" si="1"/>
        <v/>
      </c>
      <c r="W179" s="15" t="str">
        <f t="shared" si="2"/>
        <v/>
      </c>
    </row>
    <row r="180">
      <c r="I180" s="8"/>
      <c r="K180" s="8"/>
      <c r="L180" s="8"/>
      <c r="P180" s="8"/>
      <c r="Q180" s="8"/>
      <c r="R180" s="8"/>
      <c r="U180" s="8"/>
      <c r="V180" s="7" t="str">
        <f t="shared" si="1"/>
        <v/>
      </c>
      <c r="W180" s="15" t="str">
        <f t="shared" si="2"/>
        <v/>
      </c>
    </row>
    <row r="181">
      <c r="I181" s="8"/>
      <c r="K181" s="8"/>
      <c r="L181" s="8"/>
      <c r="P181" s="8"/>
      <c r="Q181" s="8"/>
      <c r="R181" s="8"/>
      <c r="U181" s="8"/>
      <c r="V181" s="7" t="str">
        <f t="shared" si="1"/>
        <v/>
      </c>
      <c r="W181" s="15" t="str">
        <f t="shared" si="2"/>
        <v/>
      </c>
    </row>
    <row r="182">
      <c r="I182" s="8"/>
      <c r="K182" s="8"/>
      <c r="L182" s="8"/>
      <c r="P182" s="8"/>
      <c r="Q182" s="8"/>
      <c r="R182" s="8"/>
      <c r="U182" s="8"/>
      <c r="V182" s="7" t="str">
        <f t="shared" si="1"/>
        <v/>
      </c>
      <c r="W182" s="15" t="str">
        <f t="shared" si="2"/>
        <v/>
      </c>
    </row>
    <row r="183">
      <c r="I183" s="8"/>
      <c r="K183" s="8"/>
      <c r="L183" s="8"/>
      <c r="P183" s="8"/>
      <c r="Q183" s="8"/>
      <c r="R183" s="8"/>
      <c r="U183" s="8"/>
      <c r="V183" s="7" t="str">
        <f t="shared" si="1"/>
        <v/>
      </c>
      <c r="W183" s="15" t="str">
        <f t="shared" si="2"/>
        <v/>
      </c>
    </row>
    <row r="184">
      <c r="I184" s="8"/>
      <c r="K184" s="8"/>
      <c r="L184" s="8"/>
      <c r="P184" s="8"/>
      <c r="Q184" s="8"/>
      <c r="R184" s="8"/>
      <c r="U184" s="8"/>
      <c r="V184" s="7" t="str">
        <f t="shared" si="1"/>
        <v/>
      </c>
      <c r="W184" s="15" t="str">
        <f t="shared" si="2"/>
        <v/>
      </c>
    </row>
    <row r="185">
      <c r="I185" s="8"/>
      <c r="K185" s="8"/>
      <c r="L185" s="8"/>
      <c r="P185" s="8"/>
      <c r="Q185" s="8"/>
      <c r="R185" s="8"/>
      <c r="U185" s="8"/>
      <c r="V185" s="7" t="str">
        <f t="shared" si="1"/>
        <v/>
      </c>
      <c r="W185" s="15" t="str">
        <f t="shared" si="2"/>
        <v/>
      </c>
    </row>
    <row r="186">
      <c r="I186" s="8"/>
      <c r="K186" s="8"/>
      <c r="L186" s="8"/>
      <c r="P186" s="8"/>
      <c r="Q186" s="8"/>
      <c r="R186" s="8"/>
      <c r="U186" s="8"/>
      <c r="V186" s="7" t="str">
        <f t="shared" si="1"/>
        <v/>
      </c>
      <c r="W186" s="15" t="str">
        <f t="shared" si="2"/>
        <v/>
      </c>
    </row>
    <row r="187">
      <c r="I187" s="8"/>
      <c r="K187" s="8"/>
      <c r="L187" s="8"/>
      <c r="P187" s="8"/>
      <c r="Q187" s="8"/>
      <c r="R187" s="8"/>
      <c r="U187" s="8"/>
      <c r="V187" s="7" t="str">
        <f t="shared" si="1"/>
        <v/>
      </c>
      <c r="W187" s="15" t="str">
        <f t="shared" si="2"/>
        <v/>
      </c>
    </row>
    <row r="188">
      <c r="I188" s="8"/>
      <c r="K188" s="8"/>
      <c r="L188" s="8"/>
      <c r="P188" s="8"/>
      <c r="Q188" s="8"/>
      <c r="R188" s="8"/>
      <c r="U188" s="8"/>
      <c r="V188" s="7" t="str">
        <f t="shared" si="1"/>
        <v/>
      </c>
      <c r="W188" s="15" t="str">
        <f t="shared" si="2"/>
        <v/>
      </c>
    </row>
    <row r="189">
      <c r="I189" s="8"/>
      <c r="K189" s="8"/>
      <c r="L189" s="8"/>
      <c r="P189" s="8"/>
      <c r="Q189" s="8"/>
      <c r="R189" s="8"/>
      <c r="U189" s="8"/>
      <c r="V189" s="7" t="str">
        <f t="shared" si="1"/>
        <v/>
      </c>
      <c r="W189" s="15" t="str">
        <f t="shared" si="2"/>
        <v/>
      </c>
    </row>
    <row r="190">
      <c r="I190" s="8"/>
      <c r="K190" s="8"/>
      <c r="L190" s="8"/>
      <c r="P190" s="8"/>
      <c r="Q190" s="8"/>
      <c r="R190" s="8"/>
      <c r="U190" s="8"/>
      <c r="V190" s="7" t="str">
        <f t="shared" si="1"/>
        <v/>
      </c>
      <c r="W190" s="15" t="str">
        <f t="shared" si="2"/>
        <v/>
      </c>
    </row>
    <row r="191">
      <c r="I191" s="8"/>
      <c r="K191" s="8"/>
      <c r="L191" s="8"/>
      <c r="P191" s="8"/>
      <c r="Q191" s="8"/>
      <c r="R191" s="8"/>
      <c r="U191" s="8"/>
      <c r="V191" s="7" t="str">
        <f t="shared" si="1"/>
        <v/>
      </c>
      <c r="W191" s="15" t="str">
        <f t="shared" si="2"/>
        <v/>
      </c>
    </row>
    <row r="192">
      <c r="I192" s="8"/>
      <c r="K192" s="8"/>
      <c r="L192" s="8"/>
      <c r="P192" s="8"/>
      <c r="Q192" s="8"/>
      <c r="R192" s="8"/>
      <c r="U192" s="8"/>
      <c r="V192" s="7" t="str">
        <f t="shared" si="1"/>
        <v/>
      </c>
      <c r="W192" s="15" t="str">
        <f t="shared" si="2"/>
        <v/>
      </c>
    </row>
    <row r="193">
      <c r="I193" s="8"/>
      <c r="K193" s="8"/>
      <c r="L193" s="8"/>
      <c r="P193" s="8"/>
      <c r="Q193" s="8"/>
      <c r="R193" s="8"/>
      <c r="U193" s="8"/>
      <c r="V193" s="7" t="str">
        <f t="shared" si="1"/>
        <v/>
      </c>
      <c r="W193" s="15" t="str">
        <f t="shared" si="2"/>
        <v/>
      </c>
    </row>
    <row r="194">
      <c r="I194" s="8"/>
      <c r="K194" s="8"/>
      <c r="L194" s="8"/>
      <c r="P194" s="8"/>
      <c r="Q194" s="8"/>
      <c r="R194" s="8"/>
      <c r="U194" s="8"/>
      <c r="V194" s="7" t="str">
        <f t="shared" si="1"/>
        <v/>
      </c>
      <c r="W194" s="15" t="str">
        <f t="shared" si="2"/>
        <v/>
      </c>
    </row>
    <row r="195">
      <c r="I195" s="8"/>
      <c r="K195" s="8"/>
      <c r="L195" s="8"/>
      <c r="P195" s="8"/>
      <c r="Q195" s="8"/>
      <c r="R195" s="8"/>
      <c r="U195" s="8"/>
      <c r="V195" s="7" t="str">
        <f t="shared" si="1"/>
        <v/>
      </c>
      <c r="W195" s="15" t="str">
        <f t="shared" si="2"/>
        <v/>
      </c>
    </row>
    <row r="196">
      <c r="I196" s="8"/>
      <c r="K196" s="8"/>
      <c r="L196" s="8"/>
      <c r="P196" s="8"/>
      <c r="Q196" s="8"/>
      <c r="R196" s="8"/>
      <c r="U196" s="8"/>
      <c r="V196" s="7" t="str">
        <f t="shared" si="1"/>
        <v/>
      </c>
      <c r="W196" s="15" t="str">
        <f t="shared" si="2"/>
        <v/>
      </c>
    </row>
    <row r="197">
      <c r="I197" s="8"/>
      <c r="K197" s="8"/>
      <c r="L197" s="8"/>
      <c r="P197" s="8"/>
      <c r="Q197" s="8"/>
      <c r="R197" s="8"/>
      <c r="U197" s="8"/>
      <c r="V197" s="7" t="str">
        <f t="shared" si="1"/>
        <v/>
      </c>
      <c r="W197" s="15" t="str">
        <f t="shared" si="2"/>
        <v/>
      </c>
    </row>
    <row r="198">
      <c r="I198" s="8"/>
      <c r="K198" s="8"/>
      <c r="L198" s="8"/>
      <c r="P198" s="8"/>
      <c r="Q198" s="8"/>
      <c r="R198" s="8"/>
      <c r="U198" s="8"/>
      <c r="V198" s="7" t="str">
        <f t="shared" si="1"/>
        <v/>
      </c>
      <c r="W198" s="15" t="str">
        <f t="shared" si="2"/>
        <v/>
      </c>
    </row>
    <row r="199">
      <c r="I199" s="8"/>
      <c r="K199" s="8"/>
      <c r="L199" s="8"/>
      <c r="P199" s="8"/>
      <c r="Q199" s="8"/>
      <c r="R199" s="8"/>
      <c r="U199" s="8"/>
      <c r="V199" s="7" t="str">
        <f t="shared" si="1"/>
        <v/>
      </c>
      <c r="W199" s="15" t="str">
        <f t="shared" si="2"/>
        <v/>
      </c>
    </row>
    <row r="200">
      <c r="I200" s="8"/>
      <c r="K200" s="8"/>
      <c r="L200" s="8"/>
      <c r="P200" s="8"/>
      <c r="Q200" s="8"/>
      <c r="R200" s="8"/>
      <c r="U200" s="8"/>
      <c r="V200" s="7" t="str">
        <f t="shared" si="1"/>
        <v/>
      </c>
      <c r="W200" s="15" t="str">
        <f t="shared" si="2"/>
        <v/>
      </c>
    </row>
    <row r="201">
      <c r="I201" s="8"/>
      <c r="K201" s="8"/>
      <c r="L201" s="8"/>
      <c r="P201" s="8"/>
      <c r="Q201" s="8"/>
      <c r="R201" s="8"/>
      <c r="U201" s="8"/>
      <c r="V201" s="7" t="str">
        <f t="shared" si="1"/>
        <v/>
      </c>
      <c r="W201" s="15" t="str">
        <f t="shared" si="2"/>
        <v/>
      </c>
    </row>
    <row r="202">
      <c r="I202" s="8"/>
      <c r="K202" s="8"/>
      <c r="L202" s="8"/>
      <c r="P202" s="8"/>
      <c r="Q202" s="8"/>
      <c r="R202" s="8"/>
      <c r="U202" s="8"/>
      <c r="V202" s="7" t="str">
        <f t="shared" si="1"/>
        <v/>
      </c>
      <c r="W202" s="15" t="str">
        <f t="shared" si="2"/>
        <v/>
      </c>
    </row>
    <row r="203">
      <c r="I203" s="8"/>
      <c r="K203" s="8"/>
      <c r="L203" s="8"/>
      <c r="P203" s="8"/>
      <c r="Q203" s="8"/>
      <c r="R203" s="8"/>
      <c r="U203" s="8"/>
      <c r="V203" s="7" t="str">
        <f t="shared" si="1"/>
        <v/>
      </c>
      <c r="W203" s="15" t="str">
        <f t="shared" si="2"/>
        <v/>
      </c>
    </row>
    <row r="204">
      <c r="I204" s="8"/>
      <c r="K204" s="8"/>
      <c r="L204" s="8"/>
      <c r="P204" s="8"/>
      <c r="Q204" s="8"/>
      <c r="R204" s="8"/>
      <c r="U204" s="8"/>
      <c r="V204" s="7" t="str">
        <f t="shared" si="1"/>
        <v/>
      </c>
      <c r="W204" s="15" t="str">
        <f t="shared" si="2"/>
        <v/>
      </c>
    </row>
    <row r="205">
      <c r="I205" s="8"/>
      <c r="K205" s="8"/>
      <c r="L205" s="8"/>
      <c r="P205" s="8"/>
      <c r="Q205" s="8"/>
      <c r="R205" s="8"/>
      <c r="U205" s="8"/>
      <c r="V205" s="7" t="str">
        <f t="shared" si="1"/>
        <v/>
      </c>
      <c r="W205" s="15" t="str">
        <f t="shared" si="2"/>
        <v/>
      </c>
    </row>
    <row r="206">
      <c r="I206" s="8"/>
      <c r="K206" s="8"/>
      <c r="L206" s="8"/>
      <c r="P206" s="8"/>
      <c r="Q206" s="8"/>
      <c r="R206" s="8"/>
      <c r="U206" s="8"/>
      <c r="V206" s="7" t="str">
        <f t="shared" si="1"/>
        <v/>
      </c>
      <c r="W206" s="15" t="str">
        <f t="shared" si="2"/>
        <v/>
      </c>
    </row>
    <row r="207">
      <c r="I207" s="8"/>
      <c r="K207" s="8"/>
      <c r="L207" s="8"/>
      <c r="P207" s="8"/>
      <c r="Q207" s="8"/>
      <c r="R207" s="8"/>
      <c r="U207" s="8"/>
      <c r="V207" s="7" t="str">
        <f t="shared" si="1"/>
        <v/>
      </c>
      <c r="W207" s="15" t="str">
        <f t="shared" si="2"/>
        <v/>
      </c>
    </row>
    <row r="208">
      <c r="I208" s="8"/>
      <c r="K208" s="8"/>
      <c r="L208" s="8"/>
      <c r="P208" s="8"/>
      <c r="Q208" s="8"/>
      <c r="R208" s="8"/>
      <c r="U208" s="8"/>
      <c r="V208" s="7" t="str">
        <f t="shared" si="1"/>
        <v/>
      </c>
      <c r="W208" s="15" t="str">
        <f t="shared" si="2"/>
        <v/>
      </c>
    </row>
    <row r="209">
      <c r="I209" s="8"/>
      <c r="K209" s="8"/>
      <c r="L209" s="8"/>
      <c r="P209" s="8"/>
      <c r="Q209" s="8"/>
      <c r="R209" s="8"/>
      <c r="U209" s="8"/>
      <c r="V209" s="7" t="str">
        <f t="shared" si="1"/>
        <v/>
      </c>
      <c r="W209" s="15" t="str">
        <f t="shared" si="2"/>
        <v/>
      </c>
    </row>
    <row r="210">
      <c r="I210" s="8"/>
      <c r="K210" s="8"/>
      <c r="L210" s="8"/>
      <c r="P210" s="8"/>
      <c r="Q210" s="8"/>
      <c r="R210" s="8"/>
      <c r="U210" s="8"/>
      <c r="V210" s="7" t="str">
        <f t="shared" si="1"/>
        <v/>
      </c>
      <c r="W210" s="15" t="str">
        <f t="shared" si="2"/>
        <v/>
      </c>
    </row>
    <row r="211">
      <c r="I211" s="8"/>
      <c r="K211" s="8"/>
      <c r="L211" s="8"/>
      <c r="P211" s="8"/>
      <c r="Q211" s="8"/>
      <c r="R211" s="8"/>
      <c r="U211" s="8"/>
      <c r="V211" s="7" t="str">
        <f t="shared" si="1"/>
        <v/>
      </c>
      <c r="W211" s="15" t="str">
        <f t="shared" si="2"/>
        <v/>
      </c>
    </row>
    <row r="212">
      <c r="I212" s="8"/>
      <c r="K212" s="8"/>
      <c r="L212" s="8"/>
      <c r="P212" s="8"/>
      <c r="Q212" s="8"/>
      <c r="R212" s="8"/>
      <c r="U212" s="8"/>
      <c r="V212" s="7" t="str">
        <f t="shared" si="1"/>
        <v/>
      </c>
      <c r="W212" s="15" t="str">
        <f t="shared" si="2"/>
        <v/>
      </c>
    </row>
    <row r="213">
      <c r="I213" s="8"/>
      <c r="K213" s="8"/>
      <c r="L213" s="8"/>
      <c r="P213" s="8"/>
      <c r="Q213" s="8"/>
      <c r="R213" s="8"/>
      <c r="U213" s="8"/>
      <c r="V213" s="7" t="str">
        <f t="shared" si="1"/>
        <v/>
      </c>
      <c r="W213" s="15" t="str">
        <f t="shared" si="2"/>
        <v/>
      </c>
    </row>
    <row r="214">
      <c r="I214" s="8"/>
      <c r="K214" s="8"/>
      <c r="L214" s="8"/>
      <c r="P214" s="8"/>
      <c r="Q214" s="8"/>
      <c r="R214" s="8"/>
      <c r="U214" s="8"/>
      <c r="V214" s="7" t="str">
        <f t="shared" si="1"/>
        <v/>
      </c>
      <c r="W214" s="15" t="str">
        <f t="shared" si="2"/>
        <v/>
      </c>
    </row>
    <row r="215">
      <c r="I215" s="8"/>
      <c r="K215" s="8"/>
      <c r="L215" s="8"/>
      <c r="P215" s="8"/>
      <c r="Q215" s="8"/>
      <c r="R215" s="8"/>
      <c r="U215" s="8"/>
      <c r="V215" s="7" t="str">
        <f t="shared" si="1"/>
        <v/>
      </c>
      <c r="W215" s="15" t="str">
        <f t="shared" si="2"/>
        <v/>
      </c>
    </row>
    <row r="216">
      <c r="I216" s="8"/>
      <c r="K216" s="8"/>
      <c r="L216" s="8"/>
      <c r="P216" s="8"/>
      <c r="Q216" s="8"/>
      <c r="R216" s="8"/>
      <c r="U216" s="8"/>
      <c r="V216" s="7" t="str">
        <f t="shared" si="1"/>
        <v/>
      </c>
      <c r="W216" s="15" t="str">
        <f t="shared" si="2"/>
        <v/>
      </c>
    </row>
    <row r="217">
      <c r="I217" s="8"/>
      <c r="K217" s="8"/>
      <c r="L217" s="8"/>
      <c r="P217" s="8"/>
      <c r="Q217" s="8"/>
      <c r="R217" s="8"/>
      <c r="U217" s="8"/>
      <c r="V217" s="7" t="str">
        <f t="shared" si="1"/>
        <v/>
      </c>
      <c r="W217" s="15" t="str">
        <f t="shared" si="2"/>
        <v/>
      </c>
    </row>
    <row r="218">
      <c r="I218" s="8"/>
      <c r="K218" s="8"/>
      <c r="L218" s="8"/>
      <c r="P218" s="8"/>
      <c r="Q218" s="8"/>
      <c r="R218" s="8"/>
      <c r="U218" s="8"/>
      <c r="V218" s="7" t="str">
        <f t="shared" si="1"/>
        <v/>
      </c>
      <c r="W218" s="15" t="str">
        <f t="shared" si="2"/>
        <v/>
      </c>
    </row>
    <row r="219">
      <c r="I219" s="8"/>
      <c r="K219" s="8"/>
      <c r="L219" s="8"/>
      <c r="P219" s="8"/>
      <c r="Q219" s="8"/>
      <c r="R219" s="8"/>
      <c r="U219" s="8"/>
      <c r="V219" s="7" t="str">
        <f t="shared" si="1"/>
        <v/>
      </c>
      <c r="W219" s="15" t="str">
        <f t="shared" si="2"/>
        <v/>
      </c>
    </row>
    <row r="220">
      <c r="I220" s="8"/>
      <c r="K220" s="8"/>
      <c r="L220" s="8"/>
      <c r="P220" s="8"/>
      <c r="Q220" s="8"/>
      <c r="R220" s="8"/>
      <c r="U220" s="8"/>
      <c r="V220" s="7" t="str">
        <f t="shared" si="1"/>
        <v/>
      </c>
      <c r="W220" s="15" t="str">
        <f t="shared" si="2"/>
        <v/>
      </c>
    </row>
    <row r="221">
      <c r="I221" s="8"/>
      <c r="K221" s="8"/>
      <c r="L221" s="8"/>
      <c r="P221" s="8"/>
      <c r="Q221" s="8"/>
      <c r="R221" s="8"/>
      <c r="U221" s="8"/>
      <c r="V221" s="7" t="str">
        <f t="shared" si="1"/>
        <v/>
      </c>
      <c r="W221" s="15" t="str">
        <f t="shared" si="2"/>
        <v/>
      </c>
    </row>
    <row r="222">
      <c r="I222" s="8"/>
      <c r="K222" s="8"/>
      <c r="L222" s="8"/>
      <c r="P222" s="8"/>
      <c r="Q222" s="8"/>
      <c r="R222" s="8"/>
      <c r="U222" s="8"/>
      <c r="V222" s="7" t="str">
        <f t="shared" si="1"/>
        <v/>
      </c>
      <c r="W222" s="15" t="str">
        <f t="shared" si="2"/>
        <v/>
      </c>
    </row>
    <row r="223">
      <c r="I223" s="8"/>
      <c r="K223" s="8"/>
      <c r="L223" s="8"/>
      <c r="P223" s="8"/>
      <c r="Q223" s="8"/>
      <c r="R223" s="8"/>
      <c r="U223" s="8"/>
      <c r="V223" s="7" t="str">
        <f t="shared" si="1"/>
        <v/>
      </c>
      <c r="W223" s="15" t="str">
        <f t="shared" si="2"/>
        <v/>
      </c>
    </row>
    <row r="224">
      <c r="I224" s="8"/>
      <c r="K224" s="8"/>
      <c r="L224" s="8"/>
      <c r="P224" s="8"/>
      <c r="Q224" s="8"/>
      <c r="R224" s="8"/>
      <c r="U224" s="8"/>
      <c r="V224" s="7" t="str">
        <f t="shared" si="1"/>
        <v/>
      </c>
      <c r="W224" s="15" t="str">
        <f t="shared" si="2"/>
        <v/>
      </c>
    </row>
    <row r="225">
      <c r="I225" s="8"/>
      <c r="K225" s="8"/>
      <c r="L225" s="8"/>
      <c r="P225" s="8"/>
      <c r="Q225" s="8"/>
      <c r="R225" s="8"/>
      <c r="U225" s="8"/>
      <c r="V225" s="7" t="str">
        <f t="shared" si="1"/>
        <v/>
      </c>
      <c r="W225" s="15" t="str">
        <f t="shared" si="2"/>
        <v/>
      </c>
    </row>
    <row r="226">
      <c r="I226" s="8"/>
      <c r="K226" s="8"/>
      <c r="L226" s="8"/>
      <c r="P226" s="8"/>
      <c r="Q226" s="8"/>
      <c r="R226" s="8"/>
      <c r="U226" s="8"/>
      <c r="V226" s="7" t="str">
        <f t="shared" si="1"/>
        <v/>
      </c>
      <c r="W226" s="15" t="str">
        <f t="shared" si="2"/>
        <v/>
      </c>
    </row>
    <row r="227">
      <c r="I227" s="8"/>
      <c r="K227" s="8"/>
      <c r="L227" s="8"/>
      <c r="P227" s="8"/>
      <c r="Q227" s="8"/>
      <c r="R227" s="8"/>
      <c r="U227" s="8"/>
      <c r="V227" s="7" t="str">
        <f t="shared" si="1"/>
        <v/>
      </c>
      <c r="W227" s="15" t="str">
        <f t="shared" si="2"/>
        <v/>
      </c>
    </row>
    <row r="228">
      <c r="I228" s="8"/>
      <c r="K228" s="8"/>
      <c r="L228" s="8"/>
      <c r="P228" s="8"/>
      <c r="Q228" s="8"/>
      <c r="R228" s="8"/>
      <c r="U228" s="8"/>
      <c r="V228" s="7" t="str">
        <f t="shared" si="1"/>
        <v/>
      </c>
      <c r="W228" s="15" t="str">
        <f t="shared" si="2"/>
        <v/>
      </c>
    </row>
    <row r="229">
      <c r="I229" s="8"/>
      <c r="K229" s="8"/>
      <c r="L229" s="8"/>
      <c r="P229" s="8"/>
      <c r="Q229" s="8"/>
      <c r="R229" s="8"/>
      <c r="U229" s="8"/>
      <c r="V229" s="7" t="str">
        <f t="shared" si="1"/>
        <v/>
      </c>
      <c r="W229" s="15" t="str">
        <f t="shared" si="2"/>
        <v/>
      </c>
    </row>
    <row r="230">
      <c r="I230" s="8"/>
      <c r="K230" s="8"/>
      <c r="L230" s="8"/>
      <c r="P230" s="8"/>
      <c r="Q230" s="8"/>
      <c r="R230" s="8"/>
      <c r="U230" s="8"/>
      <c r="V230" s="7" t="str">
        <f t="shared" si="1"/>
        <v/>
      </c>
      <c r="W230" s="15" t="str">
        <f t="shared" si="2"/>
        <v/>
      </c>
    </row>
    <row r="231">
      <c r="I231" s="8"/>
      <c r="K231" s="8"/>
      <c r="L231" s="8"/>
      <c r="P231" s="8"/>
      <c r="Q231" s="8"/>
      <c r="R231" s="8"/>
      <c r="U231" s="8"/>
      <c r="V231" s="7" t="str">
        <f t="shared" si="1"/>
        <v/>
      </c>
      <c r="W231" s="15" t="str">
        <f t="shared" si="2"/>
        <v/>
      </c>
    </row>
    <row r="232">
      <c r="I232" s="8"/>
      <c r="K232" s="8"/>
      <c r="L232" s="8"/>
      <c r="P232" s="8"/>
      <c r="Q232" s="8"/>
      <c r="R232" s="8"/>
      <c r="U232" s="8"/>
      <c r="V232" s="7" t="str">
        <f t="shared" si="1"/>
        <v/>
      </c>
      <c r="W232" s="15" t="str">
        <f t="shared" si="2"/>
        <v/>
      </c>
    </row>
    <row r="233">
      <c r="I233" s="8"/>
      <c r="K233" s="8"/>
      <c r="L233" s="8"/>
      <c r="P233" s="8"/>
      <c r="Q233" s="8"/>
      <c r="R233" s="8"/>
      <c r="U233" s="8"/>
      <c r="V233" s="7" t="str">
        <f t="shared" si="1"/>
        <v/>
      </c>
      <c r="W233" s="15" t="str">
        <f t="shared" si="2"/>
        <v/>
      </c>
    </row>
    <row r="234">
      <c r="I234" s="8"/>
      <c r="K234" s="8"/>
      <c r="L234" s="8"/>
      <c r="P234" s="8"/>
      <c r="Q234" s="8"/>
      <c r="R234" s="8"/>
      <c r="U234" s="8"/>
      <c r="V234" s="7" t="str">
        <f t="shared" si="1"/>
        <v/>
      </c>
      <c r="W234" s="15" t="str">
        <f t="shared" si="2"/>
        <v/>
      </c>
    </row>
    <row r="235">
      <c r="I235" s="8"/>
      <c r="K235" s="8"/>
      <c r="L235" s="8"/>
      <c r="P235" s="8"/>
      <c r="Q235" s="8"/>
      <c r="R235" s="8"/>
      <c r="U235" s="8"/>
      <c r="V235" s="7" t="str">
        <f t="shared" si="1"/>
        <v/>
      </c>
      <c r="W235" s="15" t="str">
        <f t="shared" si="2"/>
        <v/>
      </c>
    </row>
    <row r="236">
      <c r="I236" s="8"/>
      <c r="K236" s="8"/>
      <c r="L236" s="8"/>
      <c r="P236" s="8"/>
      <c r="Q236" s="8"/>
      <c r="R236" s="8"/>
      <c r="U236" s="8"/>
      <c r="V236" s="7" t="str">
        <f t="shared" si="1"/>
        <v/>
      </c>
      <c r="W236" s="15" t="str">
        <f t="shared" si="2"/>
        <v/>
      </c>
    </row>
    <row r="237">
      <c r="I237" s="8"/>
      <c r="K237" s="8"/>
      <c r="L237" s="8"/>
      <c r="P237" s="8"/>
      <c r="Q237" s="8"/>
      <c r="R237" s="8"/>
      <c r="U237" s="8"/>
      <c r="V237" s="7" t="str">
        <f t="shared" si="1"/>
        <v/>
      </c>
      <c r="W237" s="15" t="str">
        <f t="shared" si="2"/>
        <v/>
      </c>
    </row>
    <row r="238">
      <c r="I238" s="8"/>
      <c r="K238" s="8"/>
      <c r="L238" s="8"/>
      <c r="P238" s="8"/>
      <c r="Q238" s="8"/>
      <c r="R238" s="8"/>
      <c r="U238" s="8"/>
      <c r="V238" s="7" t="str">
        <f t="shared" si="1"/>
        <v/>
      </c>
      <c r="W238" s="15" t="str">
        <f t="shared" si="2"/>
        <v/>
      </c>
    </row>
    <row r="239">
      <c r="I239" s="8"/>
      <c r="K239" s="8"/>
      <c r="L239" s="8"/>
      <c r="P239" s="8"/>
      <c r="Q239" s="8"/>
      <c r="R239" s="8"/>
      <c r="U239" s="8"/>
      <c r="V239" s="7" t="str">
        <f t="shared" si="1"/>
        <v/>
      </c>
      <c r="W239" s="15" t="str">
        <f t="shared" si="2"/>
        <v/>
      </c>
    </row>
    <row r="240">
      <c r="I240" s="8"/>
      <c r="K240" s="8"/>
      <c r="L240" s="8"/>
      <c r="P240" s="8"/>
      <c r="Q240" s="8"/>
      <c r="R240" s="8"/>
      <c r="U240" s="8"/>
      <c r="V240" s="7" t="str">
        <f t="shared" si="1"/>
        <v/>
      </c>
      <c r="W240" s="15" t="str">
        <f t="shared" si="2"/>
        <v/>
      </c>
    </row>
    <row r="241">
      <c r="I241" s="8"/>
      <c r="K241" s="8"/>
      <c r="L241" s="8"/>
      <c r="P241" s="8"/>
      <c r="Q241" s="8"/>
      <c r="R241" s="8"/>
      <c r="U241" s="8"/>
      <c r="V241" s="7" t="str">
        <f t="shared" si="1"/>
        <v/>
      </c>
      <c r="W241" s="15" t="str">
        <f t="shared" si="2"/>
        <v/>
      </c>
    </row>
    <row r="242">
      <c r="I242" s="8"/>
      <c r="K242" s="8"/>
      <c r="L242" s="8"/>
      <c r="P242" s="8"/>
      <c r="Q242" s="8"/>
      <c r="R242" s="8"/>
      <c r="U242" s="8"/>
      <c r="V242" s="7" t="str">
        <f t="shared" si="1"/>
        <v/>
      </c>
      <c r="W242" s="15" t="str">
        <f t="shared" si="2"/>
        <v/>
      </c>
    </row>
    <row r="243">
      <c r="I243" s="8"/>
      <c r="K243" s="8"/>
      <c r="L243" s="8"/>
      <c r="P243" s="8"/>
      <c r="Q243" s="8"/>
      <c r="R243" s="8"/>
      <c r="U243" s="8"/>
      <c r="V243" s="7" t="str">
        <f t="shared" si="1"/>
        <v/>
      </c>
      <c r="W243" s="15" t="str">
        <f t="shared" si="2"/>
        <v/>
      </c>
    </row>
    <row r="244">
      <c r="I244" s="8"/>
      <c r="K244" s="8"/>
      <c r="L244" s="8"/>
      <c r="P244" s="8"/>
      <c r="Q244" s="8"/>
      <c r="R244" s="8"/>
      <c r="U244" s="8"/>
      <c r="V244" s="7" t="str">
        <f t="shared" si="1"/>
        <v/>
      </c>
      <c r="W244" s="15" t="str">
        <f t="shared" si="2"/>
        <v/>
      </c>
    </row>
    <row r="245">
      <c r="I245" s="8"/>
      <c r="K245" s="8"/>
      <c r="L245" s="8"/>
      <c r="P245" s="8"/>
      <c r="Q245" s="8"/>
      <c r="R245" s="8"/>
      <c r="U245" s="8"/>
      <c r="V245" s="7" t="str">
        <f t="shared" si="1"/>
        <v/>
      </c>
      <c r="W245" s="15" t="str">
        <f t="shared" si="2"/>
        <v/>
      </c>
    </row>
    <row r="246">
      <c r="I246" s="8"/>
      <c r="K246" s="8"/>
      <c r="L246" s="8"/>
      <c r="P246" s="8"/>
      <c r="Q246" s="8"/>
      <c r="R246" s="8"/>
      <c r="U246" s="8"/>
      <c r="V246" s="7" t="str">
        <f t="shared" si="1"/>
        <v/>
      </c>
      <c r="W246" s="15" t="str">
        <f t="shared" si="2"/>
        <v/>
      </c>
    </row>
    <row r="247">
      <c r="I247" s="8"/>
      <c r="K247" s="8"/>
      <c r="L247" s="8"/>
      <c r="P247" s="8"/>
      <c r="Q247" s="8"/>
      <c r="R247" s="8"/>
      <c r="U247" s="8"/>
      <c r="V247" s="7" t="str">
        <f t="shared" si="1"/>
        <v/>
      </c>
      <c r="W247" s="15" t="str">
        <f t="shared" si="2"/>
        <v/>
      </c>
    </row>
    <row r="248">
      <c r="I248" s="8"/>
      <c r="K248" s="8"/>
      <c r="L248" s="8"/>
      <c r="P248" s="8"/>
      <c r="Q248" s="8"/>
      <c r="R248" s="8"/>
      <c r="U248" s="8"/>
      <c r="V248" s="7" t="str">
        <f t="shared" si="1"/>
        <v/>
      </c>
      <c r="W248" s="15" t="str">
        <f t="shared" si="2"/>
        <v/>
      </c>
    </row>
    <row r="249">
      <c r="I249" s="8"/>
      <c r="K249" s="8"/>
      <c r="L249" s="8"/>
      <c r="P249" s="8"/>
      <c r="Q249" s="8"/>
      <c r="R249" s="8"/>
      <c r="U249" s="8"/>
      <c r="V249" s="7" t="str">
        <f t="shared" si="1"/>
        <v/>
      </c>
      <c r="W249" s="15" t="str">
        <f t="shared" si="2"/>
        <v/>
      </c>
    </row>
    <row r="250">
      <c r="I250" s="8"/>
      <c r="K250" s="8"/>
      <c r="L250" s="8"/>
      <c r="P250" s="8"/>
      <c r="Q250" s="8"/>
      <c r="R250" s="8"/>
      <c r="U250" s="8"/>
      <c r="V250" s="7" t="str">
        <f t="shared" si="1"/>
        <v/>
      </c>
      <c r="W250" s="15" t="str">
        <f t="shared" si="2"/>
        <v/>
      </c>
    </row>
    <row r="251">
      <c r="I251" s="8"/>
      <c r="K251" s="8"/>
      <c r="L251" s="8"/>
      <c r="P251" s="8"/>
      <c r="Q251" s="8"/>
      <c r="R251" s="8"/>
      <c r="U251" s="8"/>
      <c r="V251" s="7" t="str">
        <f t="shared" si="1"/>
        <v/>
      </c>
      <c r="W251" s="15" t="str">
        <f t="shared" si="2"/>
        <v/>
      </c>
    </row>
    <row r="252">
      <c r="I252" s="8"/>
      <c r="K252" s="8"/>
      <c r="L252" s="8"/>
      <c r="P252" s="8"/>
      <c r="Q252" s="8"/>
      <c r="R252" s="8"/>
      <c r="U252" s="8"/>
      <c r="V252" s="7" t="str">
        <f t="shared" si="1"/>
        <v/>
      </c>
      <c r="W252" s="15" t="str">
        <f t="shared" si="2"/>
        <v/>
      </c>
    </row>
    <row r="253">
      <c r="I253" s="8"/>
      <c r="K253" s="8"/>
      <c r="L253" s="8"/>
      <c r="P253" s="8"/>
      <c r="Q253" s="8"/>
      <c r="R253" s="8"/>
      <c r="U253" s="8"/>
      <c r="V253" s="7" t="str">
        <f t="shared" si="1"/>
        <v/>
      </c>
      <c r="W253" s="15" t="str">
        <f t="shared" si="2"/>
        <v/>
      </c>
    </row>
    <row r="254">
      <c r="I254" s="8"/>
      <c r="K254" s="8"/>
      <c r="L254" s="8"/>
      <c r="P254" s="8"/>
      <c r="Q254" s="8"/>
      <c r="R254" s="8"/>
      <c r="U254" s="8"/>
      <c r="V254" s="7" t="str">
        <f t="shared" si="1"/>
        <v/>
      </c>
      <c r="W254" s="15" t="str">
        <f t="shared" si="2"/>
        <v/>
      </c>
    </row>
    <row r="255">
      <c r="I255" s="8"/>
      <c r="K255" s="8"/>
      <c r="L255" s="8"/>
      <c r="P255" s="8"/>
      <c r="Q255" s="8"/>
      <c r="R255" s="8"/>
      <c r="U255" s="8"/>
      <c r="V255" s="7" t="str">
        <f t="shared" si="1"/>
        <v/>
      </c>
      <c r="W255" s="15" t="str">
        <f t="shared" si="2"/>
        <v/>
      </c>
    </row>
    <row r="256">
      <c r="I256" s="8"/>
      <c r="K256" s="8"/>
      <c r="L256" s="8"/>
      <c r="P256" s="8"/>
      <c r="Q256" s="8"/>
      <c r="R256" s="8"/>
      <c r="U256" s="8"/>
      <c r="V256" s="7" t="str">
        <f t="shared" si="1"/>
        <v/>
      </c>
      <c r="W256" s="15" t="str">
        <f t="shared" si="2"/>
        <v/>
      </c>
    </row>
    <row r="257">
      <c r="I257" s="8"/>
      <c r="K257" s="8"/>
      <c r="L257" s="8"/>
      <c r="P257" s="8"/>
      <c r="Q257" s="8"/>
      <c r="R257" s="8"/>
      <c r="U257" s="8"/>
      <c r="V257" s="7" t="str">
        <f t="shared" si="1"/>
        <v/>
      </c>
      <c r="W257" s="15" t="str">
        <f t="shared" si="2"/>
        <v/>
      </c>
    </row>
    <row r="258">
      <c r="I258" s="8"/>
      <c r="K258" s="8"/>
      <c r="L258" s="8"/>
      <c r="P258" s="8"/>
      <c r="Q258" s="8"/>
      <c r="R258" s="8"/>
      <c r="U258" s="8"/>
      <c r="V258" s="7" t="str">
        <f t="shared" si="1"/>
        <v/>
      </c>
    </row>
    <row r="259">
      <c r="I259" s="8"/>
      <c r="K259" s="8"/>
      <c r="L259" s="8"/>
      <c r="P259" s="8"/>
      <c r="Q259" s="8"/>
      <c r="R259" s="8"/>
      <c r="U259" s="8"/>
      <c r="V259" s="7" t="str">
        <f t="shared" si="1"/>
        <v/>
      </c>
    </row>
    <row r="260">
      <c r="I260" s="8"/>
      <c r="K260" s="8"/>
      <c r="L260" s="8"/>
      <c r="P260" s="8"/>
      <c r="Q260" s="8"/>
      <c r="R260" s="8"/>
      <c r="U260" s="8"/>
      <c r="V260" s="7" t="str">
        <f t="shared" si="1"/>
        <v/>
      </c>
    </row>
    <row r="261">
      <c r="I261" s="8"/>
      <c r="K261" s="8"/>
      <c r="L261" s="8"/>
      <c r="P261" s="8"/>
      <c r="Q261" s="8"/>
      <c r="R261" s="8"/>
      <c r="U261" s="8"/>
      <c r="V261" s="7" t="str">
        <f t="shared" si="1"/>
        <v/>
      </c>
    </row>
    <row r="262">
      <c r="I262" s="8"/>
      <c r="K262" s="8"/>
      <c r="L262" s="8"/>
      <c r="P262" s="8"/>
      <c r="Q262" s="8"/>
      <c r="R262" s="8"/>
      <c r="U262" s="8"/>
      <c r="V262" s="7" t="str">
        <f t="shared" si="1"/>
        <v/>
      </c>
    </row>
    <row r="263">
      <c r="I263" s="8"/>
      <c r="K263" s="8"/>
      <c r="L263" s="8"/>
      <c r="P263" s="8"/>
      <c r="Q263" s="8"/>
      <c r="R263" s="8"/>
      <c r="U263" s="8"/>
      <c r="V263" s="7" t="str">
        <f t="shared" si="1"/>
        <v/>
      </c>
    </row>
    <row r="264">
      <c r="I264" s="8"/>
      <c r="K264" s="8"/>
      <c r="L264" s="8"/>
      <c r="P264" s="8"/>
      <c r="Q264" s="8"/>
      <c r="R264" s="8"/>
      <c r="U264" s="8"/>
      <c r="V264" s="7" t="str">
        <f t="shared" si="1"/>
        <v/>
      </c>
    </row>
    <row r="265">
      <c r="I265" s="8"/>
      <c r="K265" s="8"/>
      <c r="L265" s="8"/>
      <c r="P265" s="8"/>
      <c r="Q265" s="8"/>
      <c r="R265" s="8"/>
      <c r="U265" s="8"/>
      <c r="V265" s="7" t="str">
        <f t="shared" si="1"/>
        <v/>
      </c>
    </row>
    <row r="266">
      <c r="I266" s="8"/>
      <c r="K266" s="8"/>
      <c r="L266" s="8"/>
      <c r="P266" s="8"/>
      <c r="Q266" s="8"/>
      <c r="R266" s="8"/>
      <c r="U266" s="8"/>
      <c r="V266" s="7" t="str">
        <f t="shared" si="1"/>
        <v/>
      </c>
    </row>
    <row r="267">
      <c r="I267" s="8"/>
      <c r="K267" s="8"/>
      <c r="L267" s="8"/>
      <c r="P267" s="8"/>
      <c r="Q267" s="8"/>
      <c r="R267" s="8"/>
      <c r="U267" s="8"/>
      <c r="V267" s="7" t="str">
        <f t="shared" si="1"/>
        <v/>
      </c>
    </row>
    <row r="268">
      <c r="I268" s="8"/>
      <c r="K268" s="8"/>
      <c r="L268" s="8"/>
      <c r="P268" s="8"/>
      <c r="Q268" s="8"/>
      <c r="R268" s="8"/>
      <c r="U268" s="8"/>
      <c r="V268" s="7" t="str">
        <f t="shared" si="1"/>
        <v/>
      </c>
    </row>
  </sheetData>
  <drawing r:id="rId2"/>
  <legacyDrawing r:id="rId3"/>
  <tableParts count="1">
    <tablePart r:id="rId5"/>
  </tableParts>
</worksheet>
</file>